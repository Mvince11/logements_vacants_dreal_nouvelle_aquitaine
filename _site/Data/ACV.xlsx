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ste_Cohesion_des_Territoires\Quarto\logements_vacants_dreal_nouvelle_aquitaine\Data\"/>
    </mc:Choice>
  </mc:AlternateContent>
  <xr:revisionPtr revIDLastSave="0" documentId="8_{01ADEC9E-9FEE-43CC-98EB-8C5CE633A35A}" xr6:coauthVersionLast="47" xr6:coauthVersionMax="47" xr10:uidLastSave="{00000000-0000-0000-0000-000000000000}"/>
  <bookViews>
    <workbookView xWindow="28680" yWindow="-120" windowWidth="29040" windowHeight="16440" xr2:uid="{AFEE3BCF-8647-49BD-BAB3-1A0912624B4F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1" i="1" l="1"/>
  <c r="J41" i="1"/>
  <c r="H41" i="1"/>
  <c r="G41" i="1"/>
  <c r="G18" i="1" s="1"/>
  <c r="D41" i="1"/>
  <c r="F41" i="1" s="1"/>
  <c r="J40" i="1"/>
  <c r="H40" i="1"/>
  <c r="G40" i="1"/>
  <c r="L40" i="1" s="1"/>
  <c r="F40" i="1"/>
  <c r="D40" i="1"/>
  <c r="G39" i="1"/>
  <c r="G17" i="1" s="1"/>
  <c r="F39" i="1"/>
  <c r="D39" i="1"/>
  <c r="J39" i="1" s="1"/>
  <c r="L38" i="1"/>
  <c r="G38" i="1"/>
  <c r="H38" i="1" s="1"/>
  <c r="D38" i="1"/>
  <c r="J38" i="1" s="1"/>
  <c r="L37" i="1"/>
  <c r="J37" i="1"/>
  <c r="G37" i="1"/>
  <c r="H37" i="1" s="1"/>
  <c r="D37" i="1"/>
  <c r="F37" i="1" s="1"/>
  <c r="J36" i="1"/>
  <c r="H36" i="1"/>
  <c r="G36" i="1"/>
  <c r="L36" i="1" s="1"/>
  <c r="D36" i="1"/>
  <c r="F36" i="1" s="1"/>
  <c r="G35" i="1"/>
  <c r="L35" i="1" s="1"/>
  <c r="F35" i="1"/>
  <c r="D35" i="1"/>
  <c r="J35" i="1" s="1"/>
  <c r="L34" i="1"/>
  <c r="G34" i="1"/>
  <c r="H34" i="1" s="1"/>
  <c r="D34" i="1"/>
  <c r="J34" i="1" s="1"/>
  <c r="L33" i="1"/>
  <c r="J33" i="1"/>
  <c r="G33" i="1"/>
  <c r="H33" i="1" s="1"/>
  <c r="D33" i="1"/>
  <c r="F33" i="1" s="1"/>
  <c r="J32" i="1"/>
  <c r="H32" i="1"/>
  <c r="G32" i="1"/>
  <c r="L32" i="1" s="1"/>
  <c r="D32" i="1"/>
  <c r="F32" i="1" s="1"/>
  <c r="G31" i="1"/>
  <c r="G14" i="1" s="1"/>
  <c r="H14" i="1" s="1"/>
  <c r="F31" i="1"/>
  <c r="D31" i="1"/>
  <c r="J31" i="1" s="1"/>
  <c r="L30" i="1"/>
  <c r="G30" i="1"/>
  <c r="H30" i="1" s="1"/>
  <c r="D30" i="1"/>
  <c r="J30" i="1" s="1"/>
  <c r="L29" i="1"/>
  <c r="J29" i="1"/>
  <c r="G29" i="1"/>
  <c r="H29" i="1" s="1"/>
  <c r="D29" i="1"/>
  <c r="F29" i="1" s="1"/>
  <c r="J28" i="1"/>
  <c r="H28" i="1"/>
  <c r="G28" i="1"/>
  <c r="L28" i="1" s="1"/>
  <c r="D28" i="1"/>
  <c r="F28" i="1" s="1"/>
  <c r="G27" i="1"/>
  <c r="L27" i="1" s="1"/>
  <c r="F27" i="1"/>
  <c r="D27" i="1"/>
  <c r="J27" i="1" s="1"/>
  <c r="L26" i="1"/>
  <c r="G26" i="1"/>
  <c r="H26" i="1" s="1"/>
  <c r="D26" i="1"/>
  <c r="J26" i="1" s="1"/>
  <c r="L25" i="1"/>
  <c r="J25" i="1"/>
  <c r="G25" i="1"/>
  <c r="H25" i="1" s="1"/>
  <c r="D25" i="1"/>
  <c r="F25" i="1" s="1"/>
  <c r="J24" i="1"/>
  <c r="H24" i="1"/>
  <c r="G24" i="1"/>
  <c r="L24" i="1" s="1"/>
  <c r="D24" i="1"/>
  <c r="F24" i="1" s="1"/>
  <c r="G23" i="1"/>
  <c r="G9" i="1" s="1"/>
  <c r="F23" i="1"/>
  <c r="D23" i="1"/>
  <c r="J23" i="1" s="1"/>
  <c r="L22" i="1"/>
  <c r="G22" i="1"/>
  <c r="H22" i="1" s="1"/>
  <c r="D22" i="1"/>
  <c r="J22" i="1" s="1"/>
  <c r="L21" i="1"/>
  <c r="J21" i="1"/>
  <c r="G21" i="1"/>
  <c r="H21" i="1" s="1"/>
  <c r="D21" i="1"/>
  <c r="F21" i="1" s="1"/>
  <c r="J20" i="1"/>
  <c r="H20" i="1"/>
  <c r="G20" i="1"/>
  <c r="L20" i="1" s="1"/>
  <c r="D20" i="1"/>
  <c r="F20" i="1" s="1"/>
  <c r="G19" i="1"/>
  <c r="L19" i="1" s="1"/>
  <c r="F19" i="1"/>
  <c r="D19" i="1"/>
  <c r="J19" i="1" s="1"/>
  <c r="AH18" i="1"/>
  <c r="AG18" i="1"/>
  <c r="AF18" i="1"/>
  <c r="AE18" i="1"/>
  <c r="AD18" i="1"/>
  <c r="AC18" i="1"/>
  <c r="AB18" i="1"/>
  <c r="AA18" i="1"/>
  <c r="Z18" i="1"/>
  <c r="Y18" i="1"/>
  <c r="X18" i="1"/>
  <c r="W18" i="1"/>
  <c r="U18" i="1"/>
  <c r="T18" i="1"/>
  <c r="S18" i="1"/>
  <c r="R18" i="1"/>
  <c r="Q18" i="1"/>
  <c r="P18" i="1"/>
  <c r="O18" i="1"/>
  <c r="N18" i="1"/>
  <c r="M18" i="1"/>
  <c r="K18" i="1"/>
  <c r="I18" i="1"/>
  <c r="E18" i="1"/>
  <c r="D18" i="1"/>
  <c r="J18" i="1" s="1"/>
  <c r="AH17" i="1"/>
  <c r="AG17" i="1"/>
  <c r="AF17" i="1"/>
  <c r="AE17" i="1"/>
  <c r="AD17" i="1"/>
  <c r="AC17" i="1"/>
  <c r="AB17" i="1"/>
  <c r="AA17" i="1"/>
  <c r="Z17" i="1"/>
  <c r="Y17" i="1"/>
  <c r="X17" i="1"/>
  <c r="W17" i="1"/>
  <c r="U17" i="1"/>
  <c r="T17" i="1"/>
  <c r="S17" i="1"/>
  <c r="R17" i="1"/>
  <c r="Q17" i="1"/>
  <c r="P17" i="1"/>
  <c r="O17" i="1"/>
  <c r="N17" i="1"/>
  <c r="M17" i="1"/>
  <c r="K17" i="1"/>
  <c r="I17" i="1"/>
  <c r="E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U16" i="1"/>
  <c r="T16" i="1"/>
  <c r="S16" i="1"/>
  <c r="R16" i="1"/>
  <c r="Q16" i="1"/>
  <c r="P16" i="1"/>
  <c r="O16" i="1"/>
  <c r="N16" i="1"/>
  <c r="M16" i="1"/>
  <c r="K16" i="1"/>
  <c r="I16" i="1"/>
  <c r="H16" i="1"/>
  <c r="G16" i="1"/>
  <c r="L16" i="1" s="1"/>
  <c r="E16" i="1"/>
  <c r="AG15" i="1"/>
  <c r="AF15" i="1"/>
  <c r="AE15" i="1"/>
  <c r="AD15" i="1"/>
  <c r="AC15" i="1"/>
  <c r="AB15" i="1"/>
  <c r="AA15" i="1"/>
  <c r="Z15" i="1"/>
  <c r="Y15" i="1"/>
  <c r="X15" i="1"/>
  <c r="W15" i="1"/>
  <c r="U15" i="1"/>
  <c r="T15" i="1"/>
  <c r="S15" i="1"/>
  <c r="R15" i="1"/>
  <c r="Q15" i="1"/>
  <c r="P15" i="1"/>
  <c r="O15" i="1"/>
  <c r="N15" i="1"/>
  <c r="M15" i="1"/>
  <c r="K15" i="1"/>
  <c r="I15" i="1"/>
  <c r="J15" i="1" s="1"/>
  <c r="E15" i="1"/>
  <c r="D15" i="1"/>
  <c r="F15" i="1" s="1"/>
  <c r="AH14" i="1"/>
  <c r="AG14" i="1"/>
  <c r="AF14" i="1"/>
  <c r="AE14" i="1"/>
  <c r="AD14" i="1"/>
  <c r="AC14" i="1"/>
  <c r="AB14" i="1"/>
  <c r="AA14" i="1"/>
  <c r="Z14" i="1"/>
  <c r="Y14" i="1"/>
  <c r="X14" i="1"/>
  <c r="W14" i="1"/>
  <c r="U14" i="1"/>
  <c r="T14" i="1"/>
  <c r="S14" i="1"/>
  <c r="R14" i="1"/>
  <c r="Q14" i="1"/>
  <c r="P14" i="1"/>
  <c r="O14" i="1"/>
  <c r="N14" i="1"/>
  <c r="M14" i="1"/>
  <c r="K14" i="1"/>
  <c r="I14" i="1"/>
  <c r="E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U13" i="1"/>
  <c r="T13" i="1"/>
  <c r="S13" i="1"/>
  <c r="R13" i="1"/>
  <c r="Q13" i="1"/>
  <c r="P13" i="1"/>
  <c r="O13" i="1"/>
  <c r="N13" i="1"/>
  <c r="M13" i="1"/>
  <c r="K13" i="1"/>
  <c r="L13" i="1" s="1"/>
  <c r="I13" i="1"/>
  <c r="H13" i="1"/>
  <c r="G13" i="1"/>
  <c r="E13" i="1"/>
  <c r="AH12" i="1"/>
  <c r="AG12" i="1"/>
  <c r="AF12" i="1"/>
  <c r="AF6" i="1" s="1"/>
  <c r="AE12" i="1"/>
  <c r="AD12" i="1"/>
  <c r="AC12" i="1"/>
  <c r="AB12" i="1"/>
  <c r="AA12" i="1"/>
  <c r="Z12" i="1"/>
  <c r="Y12" i="1"/>
  <c r="X12" i="1"/>
  <c r="X6" i="1" s="1"/>
  <c r="W12" i="1"/>
  <c r="U12" i="1"/>
  <c r="T12" i="1"/>
  <c r="S12" i="1"/>
  <c r="R12" i="1"/>
  <c r="Q12" i="1"/>
  <c r="P12" i="1"/>
  <c r="O12" i="1"/>
  <c r="N12" i="1"/>
  <c r="N6" i="1" s="1"/>
  <c r="M12" i="1"/>
  <c r="K12" i="1"/>
  <c r="L12" i="1" s="1"/>
  <c r="I12" i="1"/>
  <c r="J12" i="1" s="1"/>
  <c r="G12" i="1"/>
  <c r="H12" i="1" s="1"/>
  <c r="F12" i="1"/>
  <c r="E12" i="1"/>
  <c r="D12" i="1"/>
  <c r="AH11" i="1"/>
  <c r="AG11" i="1"/>
  <c r="AF11" i="1"/>
  <c r="AE11" i="1"/>
  <c r="AD11" i="1"/>
  <c r="AD6" i="1" s="1"/>
  <c r="AC11" i="1"/>
  <c r="AB11" i="1"/>
  <c r="AA11" i="1"/>
  <c r="Z11" i="1"/>
  <c r="Y11" i="1"/>
  <c r="X11" i="1"/>
  <c r="W11" i="1"/>
  <c r="U11" i="1"/>
  <c r="U6" i="1" s="1"/>
  <c r="T11" i="1"/>
  <c r="S11" i="1"/>
  <c r="R11" i="1"/>
  <c r="Q11" i="1"/>
  <c r="P11" i="1"/>
  <c r="O11" i="1"/>
  <c r="N11" i="1"/>
  <c r="M11" i="1"/>
  <c r="M6" i="1" s="1"/>
  <c r="K11" i="1"/>
  <c r="I11" i="1"/>
  <c r="J11" i="1" s="1"/>
  <c r="E11" i="1"/>
  <c r="E6" i="1" s="1"/>
  <c r="D11" i="1"/>
  <c r="F11" i="1" s="1"/>
  <c r="AI10" i="1"/>
  <c r="AH10" i="1"/>
  <c r="AG10" i="1"/>
  <c r="AF10" i="1"/>
  <c r="AE10" i="1"/>
  <c r="AD10" i="1"/>
  <c r="AC10" i="1"/>
  <c r="AC6" i="1" s="1"/>
  <c r="AB10" i="1"/>
  <c r="AA10" i="1"/>
  <c r="Z10" i="1"/>
  <c r="Y10" i="1"/>
  <c r="X10" i="1"/>
  <c r="W10" i="1"/>
  <c r="U10" i="1"/>
  <c r="T10" i="1"/>
  <c r="S10" i="1"/>
  <c r="R10" i="1"/>
  <c r="Q10" i="1"/>
  <c r="P10" i="1"/>
  <c r="O10" i="1"/>
  <c r="N10" i="1"/>
  <c r="M10" i="1"/>
  <c r="L10" i="1"/>
  <c r="K10" i="1"/>
  <c r="I10" i="1"/>
  <c r="H10" i="1"/>
  <c r="G10" i="1"/>
  <c r="E10" i="1"/>
  <c r="D10" i="1"/>
  <c r="J10" i="1" s="1"/>
  <c r="AH9" i="1"/>
  <c r="AG9" i="1"/>
  <c r="AF9" i="1"/>
  <c r="AE9" i="1"/>
  <c r="AD9" i="1"/>
  <c r="AC9" i="1"/>
  <c r="AB9" i="1"/>
  <c r="AA9" i="1"/>
  <c r="Z9" i="1"/>
  <c r="Y9" i="1"/>
  <c r="X9" i="1"/>
  <c r="W9" i="1"/>
  <c r="U9" i="1"/>
  <c r="T9" i="1"/>
  <c r="S9" i="1"/>
  <c r="R9" i="1"/>
  <c r="Q9" i="1"/>
  <c r="P9" i="1"/>
  <c r="O9" i="1"/>
  <c r="N9" i="1"/>
  <c r="M9" i="1"/>
  <c r="K9" i="1"/>
  <c r="J9" i="1"/>
  <c r="I9" i="1"/>
  <c r="F9" i="1"/>
  <c r="E9" i="1"/>
  <c r="D9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U8" i="1"/>
  <c r="T8" i="1"/>
  <c r="S8" i="1"/>
  <c r="R8" i="1"/>
  <c r="Q8" i="1"/>
  <c r="P8" i="1"/>
  <c r="P6" i="1" s="1"/>
  <c r="O8" i="1"/>
  <c r="N8" i="1"/>
  <c r="M8" i="1"/>
  <c r="K8" i="1"/>
  <c r="I8" i="1"/>
  <c r="H8" i="1"/>
  <c r="G8" i="1"/>
  <c r="L8" i="1" s="1"/>
  <c r="E8" i="1"/>
  <c r="AJ7" i="1"/>
  <c r="AI7" i="1"/>
  <c r="AI6" i="1" s="1"/>
  <c r="AH7" i="1"/>
  <c r="AH6" i="1" s="1"/>
  <c r="AG7" i="1"/>
  <c r="AG6" i="1" s="1"/>
  <c r="AF7" i="1"/>
  <c r="AE7" i="1"/>
  <c r="AE6" i="1" s="1"/>
  <c r="AD7" i="1"/>
  <c r="AC7" i="1"/>
  <c r="AB7" i="1"/>
  <c r="AA7" i="1"/>
  <c r="AA6" i="1" s="1"/>
  <c r="Z7" i="1"/>
  <c r="Z6" i="1" s="1"/>
  <c r="Y7" i="1"/>
  <c r="Y6" i="1" s="1"/>
  <c r="X7" i="1"/>
  <c r="W7" i="1"/>
  <c r="W6" i="1" s="1"/>
  <c r="V7" i="1"/>
  <c r="U7" i="1"/>
  <c r="T7" i="1"/>
  <c r="S7" i="1"/>
  <c r="S6" i="1" s="1"/>
  <c r="R7" i="1"/>
  <c r="R6" i="1" s="1"/>
  <c r="Q7" i="1"/>
  <c r="Q6" i="1" s="1"/>
  <c r="P7" i="1"/>
  <c r="O7" i="1"/>
  <c r="O6" i="1" s="1"/>
  <c r="N7" i="1"/>
  <c r="M7" i="1"/>
  <c r="K7" i="1"/>
  <c r="K6" i="1" s="1"/>
  <c r="J7" i="1"/>
  <c r="I7" i="1"/>
  <c r="I6" i="1" s="1"/>
  <c r="G7" i="1"/>
  <c r="H7" i="1" s="1"/>
  <c r="E7" i="1"/>
  <c r="D7" i="1"/>
  <c r="F7" i="1" s="1"/>
  <c r="AR6" i="1"/>
  <c r="AQ6" i="1"/>
  <c r="AP6" i="1"/>
  <c r="AO6" i="1"/>
  <c r="AN6" i="1"/>
  <c r="AM6" i="1"/>
  <c r="AL6" i="1"/>
  <c r="AK6" i="1"/>
  <c r="AJ6" i="1"/>
  <c r="AB6" i="1"/>
  <c r="V6" i="1"/>
  <c r="T6" i="1"/>
  <c r="L14" i="1" l="1"/>
  <c r="H18" i="1"/>
  <c r="L18" i="1"/>
  <c r="H9" i="1"/>
  <c r="L9" i="1"/>
  <c r="H17" i="1"/>
  <c r="L17" i="1"/>
  <c r="L7" i="1"/>
  <c r="D14" i="1"/>
  <c r="H19" i="1"/>
  <c r="F22" i="1"/>
  <c r="H23" i="1"/>
  <c r="F26" i="1"/>
  <c r="H27" i="1"/>
  <c r="F30" i="1"/>
  <c r="H31" i="1"/>
  <c r="F34" i="1"/>
  <c r="H35" i="1"/>
  <c r="F38" i="1"/>
  <c r="H39" i="1"/>
  <c r="D8" i="1"/>
  <c r="F10" i="1"/>
  <c r="G11" i="1"/>
  <c r="G15" i="1"/>
  <c r="D17" i="1"/>
  <c r="F18" i="1"/>
  <c r="G6" i="1"/>
  <c r="H6" i="1" s="1"/>
  <c r="D13" i="1"/>
  <c r="F13" i="1" s="1"/>
  <c r="L23" i="1"/>
  <c r="L31" i="1"/>
  <c r="L39" i="1"/>
  <c r="D16" i="1"/>
  <c r="F17" i="1" l="1"/>
  <c r="J17" i="1"/>
  <c r="J14" i="1"/>
  <c r="F14" i="1"/>
  <c r="F8" i="1"/>
  <c r="J8" i="1"/>
  <c r="D6" i="1"/>
  <c r="F16" i="1"/>
  <c r="J16" i="1"/>
  <c r="L15" i="1"/>
  <c r="H15" i="1"/>
  <c r="L11" i="1"/>
  <c r="H11" i="1"/>
  <c r="L6" i="1"/>
  <c r="J13" i="1"/>
  <c r="F6" i="1" l="1"/>
  <c r="J6" i="1"/>
</calcChain>
</file>

<file path=xl/sharedStrings.xml><?xml version="1.0" encoding="utf-8"?>
<sst xmlns="http://schemas.openxmlformats.org/spreadsheetml/2006/main" count="102" uniqueCount="76">
  <si>
    <t>Au 1er janvier 2024</t>
  </si>
  <si>
    <t>Ensemble du parc (Lovac+Rpls)</t>
  </si>
  <si>
    <t>Parc privé (Lovac 2024)</t>
  </si>
  <si>
    <t>Parc public (RPLS 2024), vacance à +2ans</t>
  </si>
  <si>
    <t>par ACV</t>
  </si>
  <si>
    <t>Nombre de logements vacants de +2 ans</t>
  </si>
  <si>
    <t>Nombre de logements vacants</t>
  </si>
  <si>
    <t>Caractéristiques des logements vacants</t>
  </si>
  <si>
    <t>Classement cadastrale des logements vacants</t>
  </si>
  <si>
    <t>Localisation des logements vacants</t>
  </si>
  <si>
    <t>Caractéristiques des logements vacants de +2ans</t>
  </si>
  <si>
    <t>Nb de lgts vacants +2 ans</t>
  </si>
  <si>
    <t>Nb de lgts</t>
  </si>
  <si>
    <t>% de lgts vacants +2ans</t>
  </si>
  <si>
    <t>Nb de lgts vacants +5 ans</t>
  </si>
  <si>
    <t>% de lgts vacants +5ans</t>
  </si>
  <si>
    <t>Représentation du parc privé dans les lgts vacants de +2ans</t>
  </si>
  <si>
    <t>Représentation du parc privé dans les lgts vacants de +5ans</t>
  </si>
  <si>
    <t>Période de construction des logements vacants</t>
  </si>
  <si>
    <t>Nature des logements vacants</t>
  </si>
  <si>
    <t>Typologie des logements vacants</t>
  </si>
  <si>
    <t>Classe 1 : Zone Centre</t>
  </si>
  <si>
    <t>Classe 2 : Zone Péri-centre</t>
  </si>
  <si>
    <t>Classe 3 : Zone Hors agglomération</t>
  </si>
  <si>
    <t>Avant 1949</t>
  </si>
  <si>
    <t>Entre 1950 et 1979</t>
  </si>
  <si>
    <t>Entre 1980 et 1999</t>
  </si>
  <si>
    <t>Depuis 2000</t>
  </si>
  <si>
    <t>Maisons</t>
  </si>
  <si>
    <t>Appartements</t>
  </si>
  <si>
    <t>Petits (T1-T2)</t>
  </si>
  <si>
    <t>Moyens (T3-T4)</t>
  </si>
  <si>
    <t>Grands (T5 et +)</t>
  </si>
  <si>
    <t>Nb</t>
  </si>
  <si>
    <t>%</t>
  </si>
  <si>
    <t>Entre 1979 et 1999</t>
  </si>
  <si>
    <t>Nouvelle-Aquitaine</t>
  </si>
  <si>
    <t>Charente</t>
  </si>
  <si>
    <t>Charente-Maritime</t>
  </si>
  <si>
    <t>Corrèze</t>
  </si>
  <si>
    <t>Creuse</t>
  </si>
  <si>
    <t>Dordogne</t>
  </si>
  <si>
    <t>Gironde</t>
  </si>
  <si>
    <t>Landes</t>
  </si>
  <si>
    <t>Lot-et-Garonne</t>
  </si>
  <si>
    <t>Pyrénées-Atlantiques</t>
  </si>
  <si>
    <t>Deux-Sèvres</t>
  </si>
  <si>
    <t>Vienne</t>
  </si>
  <si>
    <t>Haute-Vienne</t>
  </si>
  <si>
    <t>16</t>
  </si>
  <si>
    <t>ANGOULEME</t>
  </si>
  <si>
    <t>COGNAC</t>
  </si>
  <si>
    <t>17</t>
  </si>
  <si>
    <t>ROCHEFORT</t>
  </si>
  <si>
    <t>SAINTES</t>
  </si>
  <si>
    <t>19</t>
  </si>
  <si>
    <t>BRIVE-LA-GAILLARDE</t>
  </si>
  <si>
    <t>TULLE</t>
  </si>
  <si>
    <t>GUERET</t>
  </si>
  <si>
    <t>24</t>
  </si>
  <si>
    <t>BERGERAC</t>
  </si>
  <si>
    <t>PERIGUEUX</t>
  </si>
  <si>
    <t>LIBOURNE</t>
  </si>
  <si>
    <t>DAX</t>
  </si>
  <si>
    <t>MONT-DE-MARSAN</t>
  </si>
  <si>
    <t>AGEN</t>
  </si>
  <si>
    <t>MARMANDE</t>
  </si>
  <si>
    <t>TONNEINS</t>
  </si>
  <si>
    <t>VILLENEUVE-SUR-LOT</t>
  </si>
  <si>
    <t>BAYONNE</t>
  </si>
  <si>
    <t>PAU</t>
  </si>
  <si>
    <t>BRESSUIRE</t>
  </si>
  <si>
    <t>NIORT</t>
  </si>
  <si>
    <t>CHATELLERAUT</t>
  </si>
  <si>
    <t>POITIERS</t>
  </si>
  <si>
    <t>LIMOGES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</si>
</sst>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0.0%"/>
    <numFmt numFmtId="167" formatCode="0.00\ %"/>
    <numFmt numFmtId="168" formatCode="#,##0_ ;\-#,##0\ "/>
    <numFmt numFmtId="169" formatCode="_-* #,##0_-;\-* #,##0_-;_-* \-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7030A0"/>
      <name val="Calibri"/>
      <family val="2"/>
      <charset val="1"/>
    </font>
    <font>
      <b/>
      <sz val="20"/>
      <color rgb="FFFF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DEEBF7"/>
      </patternFill>
    </fill>
    <fill>
      <patternFill patternType="solid">
        <fgColor rgb="FF5B9BD5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theme="5" tint="-0.249977111117893"/>
        <bgColor rgb="FF993300"/>
      </patternFill>
    </fill>
    <fill>
      <patternFill patternType="solid">
        <fgColor rgb="FFDEE6EF"/>
        <bgColor rgb="FFDEEBF7"/>
      </patternFill>
    </fill>
    <fill>
      <patternFill patternType="solid">
        <fgColor rgb="FFC5E0B4"/>
        <bgColor rgb="FFDEE6EF"/>
      </patternFill>
    </fill>
    <fill>
      <patternFill patternType="solid">
        <fgColor rgb="FFDEEBF7"/>
        <bgColor rgb="FFDEE6EF"/>
      </patternFill>
    </fill>
  </fills>
  <borders count="60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8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/>
    </xf>
    <xf numFmtId="3" fontId="5" fillId="7" borderId="29" xfId="0" applyNumberFormat="1" applyFont="1" applyFill="1" applyBorder="1" applyAlignment="1">
      <alignment horizontal="center" vertical="center"/>
    </xf>
    <xf numFmtId="3" fontId="5" fillId="7" borderId="30" xfId="0" applyNumberFormat="1" applyFont="1" applyFill="1" applyBorder="1" applyAlignment="1">
      <alignment horizontal="center" vertical="center"/>
    </xf>
    <xf numFmtId="165" fontId="5" fillId="7" borderId="30" xfId="2" applyNumberFormat="1" applyFont="1" applyFill="1" applyBorder="1" applyAlignment="1" applyProtection="1">
      <alignment horizontal="center" vertical="center"/>
    </xf>
    <xf numFmtId="165" fontId="5" fillId="7" borderId="31" xfId="2" applyNumberFormat="1" applyFont="1" applyFill="1" applyBorder="1" applyAlignment="1" applyProtection="1">
      <alignment horizontal="center" vertical="center"/>
    </xf>
    <xf numFmtId="3" fontId="5" fillId="7" borderId="7" xfId="1" applyNumberFormat="1" applyFont="1" applyFill="1" applyBorder="1" applyAlignment="1" applyProtection="1">
      <alignment horizontal="center" vertical="center" wrapText="1"/>
    </xf>
    <xf numFmtId="165" fontId="5" fillId="7" borderId="8" xfId="2" applyNumberFormat="1" applyFont="1" applyFill="1" applyBorder="1" applyAlignment="1" applyProtection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3" fontId="5" fillId="7" borderId="32" xfId="0" applyNumberFormat="1" applyFont="1" applyFill="1" applyBorder="1" applyAlignment="1">
      <alignment horizontal="center" vertical="center"/>
    </xf>
    <xf numFmtId="3" fontId="5" fillId="7" borderId="33" xfId="0" applyNumberFormat="1" applyFont="1" applyFill="1" applyBorder="1" applyAlignment="1">
      <alignment horizontal="center" vertical="center"/>
    </xf>
    <xf numFmtId="3" fontId="5" fillId="7" borderId="31" xfId="0" applyNumberFormat="1" applyFont="1" applyFill="1" applyBorder="1" applyAlignment="1">
      <alignment horizontal="center" vertical="center"/>
    </xf>
    <xf numFmtId="167" fontId="5" fillId="7" borderId="30" xfId="0" applyNumberFormat="1" applyFont="1" applyFill="1" applyBorder="1" applyAlignment="1">
      <alignment horizontal="center" vertical="center"/>
    </xf>
    <xf numFmtId="168" fontId="5" fillId="7" borderId="7" xfId="1" applyNumberFormat="1" applyFont="1" applyFill="1" applyBorder="1" applyAlignment="1" applyProtection="1">
      <alignment horizontal="center" vertical="center" wrapText="1"/>
    </xf>
    <xf numFmtId="3" fontId="5" fillId="7" borderId="34" xfId="0" applyNumberFormat="1" applyFont="1" applyFill="1" applyBorder="1" applyAlignment="1">
      <alignment horizontal="center" vertical="center"/>
    </xf>
    <xf numFmtId="3" fontId="5" fillId="7" borderId="7" xfId="0" applyNumberFormat="1" applyFont="1" applyFill="1" applyBorder="1" applyAlignment="1">
      <alignment horizontal="center" vertical="center"/>
    </xf>
    <xf numFmtId="3" fontId="5" fillId="7" borderId="35" xfId="0" applyNumberFormat="1" applyFont="1" applyFill="1" applyBorder="1" applyAlignment="1">
      <alignment horizontal="center" vertical="center"/>
    </xf>
    <xf numFmtId="3" fontId="5" fillId="7" borderId="36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3" fontId="6" fillId="2" borderId="37" xfId="0" applyNumberFormat="1" applyFont="1" applyFill="1" applyBorder="1" applyAlignment="1">
      <alignment horizontal="center" vertical="center"/>
    </xf>
    <xf numFmtId="3" fontId="0" fillId="2" borderId="38" xfId="0" applyNumberFormat="1" applyFill="1" applyBorder="1" applyAlignment="1">
      <alignment horizontal="center" vertical="center"/>
    </xf>
    <xf numFmtId="165" fontId="0" fillId="2" borderId="38" xfId="2" applyNumberFormat="1" applyFont="1" applyFill="1" applyBorder="1" applyAlignment="1" applyProtection="1">
      <alignment horizontal="center" vertical="center"/>
    </xf>
    <xf numFmtId="165" fontId="0" fillId="2" borderId="39" xfId="2" applyNumberFormat="1" applyFont="1" applyFill="1" applyBorder="1" applyAlignment="1" applyProtection="1">
      <alignment horizontal="center" vertical="center"/>
    </xf>
    <xf numFmtId="3" fontId="0" fillId="2" borderId="14" xfId="0" applyNumberFormat="1" applyFill="1" applyBorder="1" applyAlignment="1">
      <alignment horizontal="center" vertical="center"/>
    </xf>
    <xf numFmtId="165" fontId="0" fillId="2" borderId="15" xfId="2" applyNumberFormat="1" applyFont="1" applyFill="1" applyBorder="1" applyAlignment="1" applyProtection="1">
      <alignment horizontal="center" vertical="center"/>
    </xf>
    <xf numFmtId="3" fontId="0" fillId="2" borderId="15" xfId="0" applyNumberFormat="1" applyFill="1" applyBorder="1" applyAlignment="1">
      <alignment horizontal="center" vertical="center"/>
    </xf>
    <xf numFmtId="167" fontId="0" fillId="2" borderId="16" xfId="2" applyNumberFormat="1" applyFont="1" applyFill="1" applyBorder="1" applyAlignment="1" applyProtection="1">
      <alignment horizontal="center" vertical="center"/>
    </xf>
    <xf numFmtId="169" fontId="0" fillId="2" borderId="37" xfId="1" applyNumberFormat="1" applyFont="1" applyFill="1" applyBorder="1" applyAlignment="1" applyProtection="1">
      <alignment horizontal="center" vertical="center"/>
    </xf>
    <xf numFmtId="169" fontId="0" fillId="2" borderId="38" xfId="1" applyNumberFormat="1" applyFont="1" applyFill="1" applyBorder="1" applyAlignment="1" applyProtection="1">
      <alignment horizontal="center" vertical="center"/>
    </xf>
    <xf numFmtId="169" fontId="0" fillId="2" borderId="40" xfId="1" applyNumberFormat="1" applyFont="1" applyFill="1" applyBorder="1" applyAlignment="1" applyProtection="1">
      <alignment horizontal="center" vertical="center"/>
    </xf>
    <xf numFmtId="169" fontId="0" fillId="2" borderId="41" xfId="1" applyNumberFormat="1" applyFont="1" applyFill="1" applyBorder="1" applyAlignment="1" applyProtection="1">
      <alignment horizontal="center" vertical="center"/>
    </xf>
    <xf numFmtId="169" fontId="0" fillId="2" borderId="39" xfId="1" applyNumberFormat="1" applyFont="1" applyFill="1" applyBorder="1" applyAlignment="1" applyProtection="1">
      <alignment horizontal="center" vertical="center"/>
    </xf>
    <xf numFmtId="0" fontId="0" fillId="2" borderId="37" xfId="1" applyNumberFormat="1" applyFont="1" applyFill="1" applyBorder="1" applyAlignment="1" applyProtection="1">
      <alignment horizontal="center" vertical="center"/>
    </xf>
    <xf numFmtId="0" fontId="0" fillId="2" borderId="38" xfId="2" applyNumberFormat="1" applyFont="1" applyFill="1" applyBorder="1" applyAlignment="1" applyProtection="1">
      <alignment horizontal="center" vertical="center"/>
    </xf>
    <xf numFmtId="0" fontId="0" fillId="2" borderId="38" xfId="1" applyNumberFormat="1" applyFont="1" applyFill="1" applyBorder="1" applyAlignment="1" applyProtection="1">
      <alignment horizontal="center" vertical="center"/>
    </xf>
    <xf numFmtId="0" fontId="0" fillId="2" borderId="40" xfId="2" applyNumberFormat="1" applyFont="1" applyFill="1" applyBorder="1" applyAlignment="1" applyProtection="1">
      <alignment horizontal="center" vertical="center"/>
    </xf>
    <xf numFmtId="167" fontId="0" fillId="2" borderId="38" xfId="2" applyNumberFormat="1" applyFont="1" applyFill="1" applyBorder="1" applyAlignment="1" applyProtection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3" fontId="0" fillId="2" borderId="16" xfId="0" applyNumberFormat="1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6" fillId="2" borderId="44" xfId="0" applyFont="1" applyFill="1" applyBorder="1" applyAlignment="1">
      <alignment horizontal="left" vertical="center"/>
    </xf>
    <xf numFmtId="3" fontId="6" fillId="8" borderId="45" xfId="0" applyNumberFormat="1" applyFont="1" applyFill="1" applyBorder="1" applyAlignment="1">
      <alignment horizontal="center" vertical="center"/>
    </xf>
    <xf numFmtId="3" fontId="0" fillId="8" borderId="46" xfId="0" applyNumberFormat="1" applyFill="1" applyBorder="1" applyAlignment="1">
      <alignment horizontal="center" vertical="center"/>
    </xf>
    <xf numFmtId="165" fontId="0" fillId="8" borderId="46" xfId="2" applyNumberFormat="1" applyFont="1" applyFill="1" applyBorder="1" applyAlignment="1" applyProtection="1">
      <alignment horizontal="center" vertical="center"/>
    </xf>
    <xf numFmtId="165" fontId="0" fillId="8" borderId="47" xfId="2" applyNumberFormat="1" applyFont="1" applyFill="1" applyBorder="1" applyAlignment="1" applyProtection="1">
      <alignment horizontal="center" vertical="center"/>
    </xf>
    <xf numFmtId="3" fontId="0" fillId="8" borderId="45" xfId="0" applyNumberFormat="1" applyFill="1" applyBorder="1" applyAlignment="1">
      <alignment horizontal="center" vertical="center"/>
    </xf>
    <xf numFmtId="167" fontId="0" fillId="8" borderId="48" xfId="2" applyNumberFormat="1" applyFont="1" applyFill="1" applyBorder="1" applyAlignment="1" applyProtection="1">
      <alignment horizontal="center" vertical="center"/>
    </xf>
    <xf numFmtId="169" fontId="0" fillId="8" borderId="45" xfId="1" applyNumberFormat="1" applyFont="1" applyFill="1" applyBorder="1" applyAlignment="1" applyProtection="1">
      <alignment horizontal="center" vertical="center"/>
    </xf>
    <xf numFmtId="169" fontId="0" fillId="8" borderId="46" xfId="1" applyNumberFormat="1" applyFont="1" applyFill="1" applyBorder="1" applyAlignment="1" applyProtection="1">
      <alignment horizontal="center" vertical="center"/>
    </xf>
    <xf numFmtId="169" fontId="0" fillId="8" borderId="48" xfId="1" applyNumberFormat="1" applyFont="1" applyFill="1" applyBorder="1" applyAlignment="1" applyProtection="1">
      <alignment horizontal="center" vertical="center"/>
    </xf>
    <xf numFmtId="169" fontId="0" fillId="8" borderId="49" xfId="1" applyNumberFormat="1" applyFont="1" applyFill="1" applyBorder="1" applyAlignment="1" applyProtection="1">
      <alignment horizontal="center" vertical="center"/>
    </xf>
    <xf numFmtId="169" fontId="0" fillId="8" borderId="47" xfId="1" applyNumberFormat="1" applyFont="1" applyFill="1" applyBorder="1" applyAlignment="1" applyProtection="1">
      <alignment horizontal="center" vertical="center"/>
    </xf>
    <xf numFmtId="0" fontId="0" fillId="8" borderId="45" xfId="1" applyNumberFormat="1" applyFont="1" applyFill="1" applyBorder="1" applyAlignment="1" applyProtection="1">
      <alignment horizontal="center" vertical="center"/>
    </xf>
    <xf numFmtId="0" fontId="0" fillId="8" borderId="46" xfId="2" applyNumberFormat="1" applyFont="1" applyFill="1" applyBorder="1" applyAlignment="1" applyProtection="1">
      <alignment horizontal="center" vertical="center"/>
    </xf>
    <xf numFmtId="0" fontId="0" fillId="8" borderId="46" xfId="1" applyNumberFormat="1" applyFont="1" applyFill="1" applyBorder="1" applyAlignment="1" applyProtection="1">
      <alignment horizontal="center" vertical="center"/>
    </xf>
    <xf numFmtId="0" fontId="0" fillId="8" borderId="48" xfId="2" applyNumberFormat="1" applyFont="1" applyFill="1" applyBorder="1" applyAlignment="1" applyProtection="1">
      <alignment horizontal="center" vertical="center"/>
    </xf>
    <xf numFmtId="167" fontId="0" fillId="8" borderId="46" xfId="2" applyNumberFormat="1" applyFont="1" applyFill="1" applyBorder="1" applyAlignment="1" applyProtection="1">
      <alignment horizontal="center" vertical="center"/>
    </xf>
    <xf numFmtId="0" fontId="6" fillId="8" borderId="45" xfId="0" applyFont="1" applyFill="1" applyBorder="1" applyAlignment="1">
      <alignment horizontal="center" vertical="center"/>
    </xf>
    <xf numFmtId="3" fontId="0" fillId="8" borderId="48" xfId="0" applyNumberFormat="1" applyFill="1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0" fontId="0" fillId="8" borderId="46" xfId="0" applyFill="1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0" fontId="0" fillId="8" borderId="45" xfId="0" applyFill="1" applyBorder="1" applyAlignment="1">
      <alignment horizontal="center" vertical="center"/>
    </xf>
    <xf numFmtId="0" fontId="0" fillId="8" borderId="48" xfId="0" applyFill="1" applyBorder="1" applyAlignment="1">
      <alignment horizontal="center" vertical="center"/>
    </xf>
    <xf numFmtId="3" fontId="6" fillId="2" borderId="45" xfId="0" applyNumberFormat="1" applyFont="1" applyFill="1" applyBorder="1" applyAlignment="1">
      <alignment horizontal="center" vertical="center"/>
    </xf>
    <xf numFmtId="3" fontId="0" fillId="2" borderId="46" xfId="0" applyNumberFormat="1" applyFill="1" applyBorder="1" applyAlignment="1">
      <alignment horizontal="center" vertical="center"/>
    </xf>
    <xf numFmtId="165" fontId="0" fillId="2" borderId="46" xfId="2" applyNumberFormat="1" applyFont="1" applyFill="1" applyBorder="1" applyAlignment="1" applyProtection="1">
      <alignment horizontal="center" vertical="center"/>
    </xf>
    <xf numFmtId="165" fontId="0" fillId="2" borderId="47" xfId="2" applyNumberFormat="1" applyFont="1" applyFill="1" applyBorder="1" applyAlignment="1" applyProtection="1">
      <alignment horizontal="center" vertical="center"/>
    </xf>
    <xf numFmtId="3" fontId="0" fillId="2" borderId="45" xfId="0" applyNumberFormat="1" applyFill="1" applyBorder="1" applyAlignment="1">
      <alignment horizontal="center" vertical="center"/>
    </xf>
    <xf numFmtId="165" fontId="0" fillId="2" borderId="48" xfId="2" applyNumberFormat="1" applyFont="1" applyFill="1" applyBorder="1" applyAlignment="1" applyProtection="1">
      <alignment horizontal="center" vertical="center"/>
    </xf>
    <xf numFmtId="169" fontId="0" fillId="2" borderId="45" xfId="1" applyNumberFormat="1" applyFont="1" applyFill="1" applyBorder="1" applyAlignment="1" applyProtection="1">
      <alignment horizontal="center" vertical="center"/>
    </xf>
    <xf numFmtId="169" fontId="0" fillId="2" borderId="46" xfId="1" applyNumberFormat="1" applyFont="1" applyFill="1" applyBorder="1" applyAlignment="1" applyProtection="1">
      <alignment horizontal="center" vertical="center"/>
    </xf>
    <xf numFmtId="169" fontId="0" fillId="2" borderId="48" xfId="1" applyNumberFormat="1" applyFont="1" applyFill="1" applyBorder="1" applyAlignment="1" applyProtection="1">
      <alignment horizontal="center" vertical="center"/>
    </xf>
    <xf numFmtId="169" fontId="0" fillId="2" borderId="49" xfId="1" applyNumberFormat="1" applyFont="1" applyFill="1" applyBorder="1" applyAlignment="1" applyProtection="1">
      <alignment horizontal="center" vertical="center"/>
    </xf>
    <xf numFmtId="169" fontId="0" fillId="2" borderId="47" xfId="1" applyNumberFormat="1" applyFont="1" applyFill="1" applyBorder="1" applyAlignment="1" applyProtection="1">
      <alignment horizontal="center" vertical="center"/>
    </xf>
    <xf numFmtId="0" fontId="0" fillId="2" borderId="45" xfId="1" applyNumberFormat="1" applyFont="1" applyFill="1" applyBorder="1" applyAlignment="1" applyProtection="1">
      <alignment horizontal="center" vertical="center"/>
    </xf>
    <xf numFmtId="0" fontId="0" fillId="2" borderId="46" xfId="2" applyNumberFormat="1" applyFont="1" applyFill="1" applyBorder="1" applyAlignment="1" applyProtection="1">
      <alignment horizontal="center" vertical="center"/>
    </xf>
    <xf numFmtId="0" fontId="0" fillId="2" borderId="46" xfId="1" applyNumberFormat="1" applyFont="1" applyFill="1" applyBorder="1" applyAlignment="1" applyProtection="1">
      <alignment horizontal="center" vertical="center"/>
    </xf>
    <xf numFmtId="0" fontId="0" fillId="2" borderId="48" xfId="2" applyNumberFormat="1" applyFont="1" applyFill="1" applyBorder="1" applyAlignment="1" applyProtection="1">
      <alignment horizontal="center" vertical="center"/>
    </xf>
    <xf numFmtId="167" fontId="0" fillId="2" borderId="46" xfId="2" applyNumberFormat="1" applyFont="1" applyFill="1" applyBorder="1" applyAlignment="1" applyProtection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3" fontId="0" fillId="2" borderId="48" xfId="0" applyNumberFormat="1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65" fontId="0" fillId="8" borderId="48" xfId="2" applyNumberFormat="1" applyFont="1" applyFill="1" applyBorder="1" applyAlignment="1" applyProtection="1">
      <alignment horizontal="center" vertical="center"/>
    </xf>
    <xf numFmtId="9" fontId="0" fillId="2" borderId="46" xfId="2" applyFont="1" applyFill="1" applyBorder="1" applyAlignment="1" applyProtection="1">
      <alignment horizontal="center" vertical="center"/>
    </xf>
    <xf numFmtId="9" fontId="0" fillId="8" borderId="48" xfId="2" applyFont="1" applyFill="1" applyBorder="1" applyAlignment="1" applyProtection="1">
      <alignment horizontal="center" vertical="center"/>
    </xf>
    <xf numFmtId="0" fontId="6" fillId="2" borderId="26" xfId="0" applyFont="1" applyFill="1" applyBorder="1" applyAlignment="1">
      <alignment horizontal="left" vertical="center"/>
    </xf>
    <xf numFmtId="0" fontId="0" fillId="8" borderId="21" xfId="2" applyNumberFormat="1" applyFont="1" applyFill="1" applyBorder="1" applyAlignment="1" applyProtection="1">
      <alignment horizontal="center" vertical="center"/>
    </xf>
    <xf numFmtId="167" fontId="0" fillId="8" borderId="21" xfId="2" applyNumberFormat="1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4" xfId="0" applyFont="1" applyFill="1" applyBorder="1"/>
    <xf numFmtId="0" fontId="0" fillId="2" borderId="6" xfId="0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5" fontId="0" fillId="0" borderId="15" xfId="2" applyNumberFormat="1" applyFont="1" applyBorder="1" applyAlignment="1" applyProtection="1">
      <alignment horizontal="center" vertical="center"/>
    </xf>
    <xf numFmtId="0" fontId="0" fillId="0" borderId="15" xfId="0" applyBorder="1" applyAlignment="1">
      <alignment horizontal="center" vertical="center"/>
    </xf>
    <xf numFmtId="165" fontId="0" fillId="0" borderId="16" xfId="2" applyNumberFormat="1" applyFont="1" applyBorder="1" applyAlignment="1" applyProtection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9" fontId="0" fillId="0" borderId="16" xfId="2" applyFont="1" applyBorder="1" applyAlignment="1" applyProtection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167" fontId="0" fillId="0" borderId="15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0" fontId="0" fillId="0" borderId="42" xfId="0" applyBorder="1" applyAlignment="1">
      <alignment horizontal="center"/>
    </xf>
    <xf numFmtId="0" fontId="6" fillId="2" borderId="50" xfId="0" applyFont="1" applyFill="1" applyBorder="1"/>
    <xf numFmtId="0" fontId="0" fillId="2" borderId="51" xfId="0" applyFill="1" applyBorder="1"/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165" fontId="0" fillId="0" borderId="23" xfId="2" applyNumberFormat="1" applyFont="1" applyBorder="1" applyAlignment="1" applyProtection="1">
      <alignment horizontal="center" vertical="center"/>
    </xf>
    <xf numFmtId="0" fontId="0" fillId="0" borderId="23" xfId="0" applyBorder="1" applyAlignment="1">
      <alignment horizontal="center" vertical="center"/>
    </xf>
    <xf numFmtId="165" fontId="0" fillId="0" borderId="25" xfId="2" applyNumberFormat="1" applyFont="1" applyBorder="1" applyAlignment="1" applyProtection="1">
      <alignment horizontal="center" vertical="center"/>
    </xf>
    <xf numFmtId="0" fontId="7" fillId="0" borderId="52" xfId="0" applyFont="1" applyBorder="1" applyAlignment="1">
      <alignment horizontal="center" vertical="center" wrapText="1"/>
    </xf>
    <xf numFmtId="9" fontId="0" fillId="0" borderId="25" xfId="2" applyFont="1" applyBorder="1" applyAlignment="1" applyProtection="1">
      <alignment horizontal="center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167" fontId="0" fillId="0" borderId="23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0" fontId="0" fillId="0" borderId="53" xfId="0" applyBorder="1" applyAlignment="1">
      <alignment horizontal="center"/>
    </xf>
    <xf numFmtId="0" fontId="6" fillId="9" borderId="3" xfId="0" applyFont="1" applyFill="1" applyBorder="1" applyAlignment="1">
      <alignment horizontal="center" vertical="center"/>
    </xf>
    <xf numFmtId="0" fontId="6" fillId="9" borderId="34" xfId="0" applyFont="1" applyFill="1" applyBorder="1"/>
    <xf numFmtId="0" fontId="0" fillId="9" borderId="6" xfId="0" applyFill="1" applyBorder="1"/>
    <xf numFmtId="0" fontId="0" fillId="9" borderId="14" xfId="0" applyFill="1" applyBorder="1" applyAlignment="1">
      <alignment horizontal="center"/>
    </xf>
    <xf numFmtId="0" fontId="0" fillId="9" borderId="54" xfId="0" applyFill="1" applyBorder="1" applyAlignment="1">
      <alignment horizontal="center"/>
    </xf>
    <xf numFmtId="165" fontId="0" fillId="9" borderId="15" xfId="2" applyNumberFormat="1" applyFont="1" applyFill="1" applyBorder="1" applyAlignment="1" applyProtection="1">
      <alignment horizontal="center" vertical="center"/>
    </xf>
    <xf numFmtId="0" fontId="0" fillId="9" borderId="15" xfId="0" applyFill="1" applyBorder="1" applyAlignment="1">
      <alignment horizontal="center" vertical="center"/>
    </xf>
    <xf numFmtId="165" fontId="0" fillId="9" borderId="16" xfId="2" applyNumberFormat="1" applyFont="1" applyFill="1" applyBorder="1" applyAlignment="1" applyProtection="1">
      <alignment horizontal="center" vertical="center"/>
    </xf>
    <xf numFmtId="0" fontId="7" fillId="9" borderId="14" xfId="0" applyFont="1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/>
    </xf>
    <xf numFmtId="9" fontId="0" fillId="9" borderId="16" xfId="2" applyFont="1" applyFill="1" applyBorder="1" applyAlignment="1" applyProtection="1">
      <alignment horizontal="center"/>
    </xf>
    <xf numFmtId="0" fontId="7" fillId="9" borderId="15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167" fontId="0" fillId="9" borderId="15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67" fontId="0" fillId="9" borderId="16" xfId="0" applyNumberFormat="1" applyFill="1" applyBorder="1" applyAlignment="1">
      <alignment horizontal="center"/>
    </xf>
    <xf numFmtId="0" fontId="0" fillId="9" borderId="42" xfId="0" applyFill="1" applyBorder="1" applyAlignment="1">
      <alignment horizontal="center"/>
    </xf>
    <xf numFmtId="0" fontId="6" fillId="9" borderId="50" xfId="0" applyFont="1" applyFill="1" applyBorder="1"/>
    <xf numFmtId="0" fontId="0" fillId="9" borderId="51" xfId="0" applyFill="1" applyBorder="1"/>
    <xf numFmtId="0" fontId="0" fillId="9" borderId="52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165" fontId="0" fillId="9" borderId="23" xfId="2" applyNumberFormat="1" applyFont="1" applyFill="1" applyBorder="1" applyAlignment="1" applyProtection="1">
      <alignment horizontal="center" vertical="center"/>
    </xf>
    <xf numFmtId="0" fontId="0" fillId="9" borderId="23" xfId="0" applyFill="1" applyBorder="1" applyAlignment="1">
      <alignment horizontal="center" vertical="center"/>
    </xf>
    <xf numFmtId="165" fontId="0" fillId="9" borderId="25" xfId="2" applyNumberFormat="1" applyFont="1" applyFill="1" applyBorder="1" applyAlignment="1" applyProtection="1">
      <alignment horizontal="center" vertical="center"/>
    </xf>
    <xf numFmtId="0" fontId="7" fillId="9" borderId="52" xfId="0" applyFont="1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/>
    </xf>
    <xf numFmtId="9" fontId="0" fillId="9" borderId="25" xfId="2" applyFont="1" applyFill="1" applyBorder="1" applyAlignment="1" applyProtection="1">
      <alignment horizontal="center"/>
    </xf>
    <xf numFmtId="0" fontId="7" fillId="9" borderId="23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167" fontId="0" fillId="9" borderId="23" xfId="0" applyNumberFormat="1" applyFill="1" applyBorder="1" applyAlignment="1">
      <alignment horizontal="center"/>
    </xf>
    <xf numFmtId="1" fontId="0" fillId="9" borderId="23" xfId="0" applyNumberFormat="1" applyFill="1" applyBorder="1" applyAlignment="1">
      <alignment horizontal="center"/>
    </xf>
    <xf numFmtId="167" fontId="0" fillId="9" borderId="25" xfId="0" applyNumberFormat="1" applyFill="1" applyBorder="1" applyAlignment="1">
      <alignment horizontal="center"/>
    </xf>
    <xf numFmtId="0" fontId="0" fillId="9" borderId="53" xfId="0" applyFill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45" xfId="0" applyBorder="1" applyAlignment="1">
      <alignment horizontal="center"/>
    </xf>
    <xf numFmtId="0" fontId="0" fillId="0" borderId="55" xfId="0" applyBorder="1" applyAlignment="1">
      <alignment horizontal="center"/>
    </xf>
    <xf numFmtId="165" fontId="0" fillId="0" borderId="46" xfId="2" applyNumberFormat="1" applyFont="1" applyBorder="1" applyAlignment="1" applyProtection="1">
      <alignment horizontal="center" vertical="center"/>
    </xf>
    <xf numFmtId="0" fontId="0" fillId="0" borderId="46" xfId="0" applyBorder="1" applyAlignment="1">
      <alignment horizontal="center" vertical="center"/>
    </xf>
    <xf numFmtId="165" fontId="0" fillId="0" borderId="48" xfId="2" applyNumberFormat="1" applyFont="1" applyBorder="1" applyAlignment="1" applyProtection="1">
      <alignment horizontal="center" vertical="center"/>
    </xf>
    <xf numFmtId="0" fontId="7" fillId="0" borderId="45" xfId="0" applyFont="1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9" fontId="0" fillId="0" borderId="48" xfId="2" applyFont="1" applyBorder="1" applyAlignment="1" applyProtection="1">
      <alignment horizontal="center"/>
    </xf>
    <xf numFmtId="0" fontId="7" fillId="0" borderId="46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6" fillId="9" borderId="3" xfId="0" applyFont="1" applyFill="1" applyBorder="1" applyAlignment="1">
      <alignment horizontal="center" vertical="center"/>
    </xf>
    <xf numFmtId="0" fontId="6" fillId="9" borderId="56" xfId="0" applyFont="1" applyFill="1" applyBorder="1"/>
    <xf numFmtId="0" fontId="0" fillId="9" borderId="10" xfId="0" applyFill="1" applyBorder="1" applyAlignment="1">
      <alignment wrapText="1"/>
    </xf>
    <xf numFmtId="0" fontId="0" fillId="9" borderId="29" xfId="0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165" fontId="0" fillId="9" borderId="30" xfId="2" applyNumberFormat="1" applyFont="1" applyFill="1" applyBorder="1" applyAlignment="1" applyProtection="1">
      <alignment horizontal="center" vertical="center"/>
    </xf>
    <xf numFmtId="0" fontId="0" fillId="9" borderId="30" xfId="0" applyFill="1" applyBorder="1" applyAlignment="1">
      <alignment horizontal="center" vertical="center"/>
    </xf>
    <xf numFmtId="165" fontId="0" fillId="9" borderId="32" xfId="2" applyNumberFormat="1" applyFont="1" applyFill="1" applyBorder="1" applyAlignment="1" applyProtection="1">
      <alignment horizontal="center" vertical="center"/>
    </xf>
    <xf numFmtId="0" fontId="7" fillId="9" borderId="29" xfId="0" applyFont="1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/>
    </xf>
    <xf numFmtId="9" fontId="0" fillId="9" borderId="32" xfId="2" applyFont="1" applyFill="1" applyBorder="1" applyAlignment="1" applyProtection="1">
      <alignment horizontal="center"/>
    </xf>
    <xf numFmtId="0" fontId="7" fillId="9" borderId="30" xfId="0" applyFont="1" applyFill="1" applyBorder="1" applyAlignment="1">
      <alignment horizontal="center" vertical="center" wrapText="1"/>
    </xf>
    <xf numFmtId="0" fontId="7" fillId="9" borderId="32" xfId="0" applyFont="1" applyFill="1" applyBorder="1" applyAlignment="1">
      <alignment horizontal="center" vertical="center" wrapText="1"/>
    </xf>
    <xf numFmtId="0" fontId="0" fillId="9" borderId="3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167" fontId="0" fillId="9" borderId="30" xfId="0" applyNumberFormat="1" applyFill="1" applyBorder="1" applyAlignment="1">
      <alignment horizontal="center"/>
    </xf>
    <xf numFmtId="167" fontId="0" fillId="9" borderId="32" xfId="0" applyNumberFormat="1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8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167" fontId="0" fillId="0" borderId="40" xfId="0" applyNumberFormat="1" applyBorder="1" applyAlignment="1">
      <alignment horizontal="center"/>
    </xf>
    <xf numFmtId="167" fontId="0" fillId="0" borderId="46" xfId="0" applyNumberFormat="1" applyBorder="1" applyAlignment="1">
      <alignment horizontal="center"/>
    </xf>
    <xf numFmtId="167" fontId="0" fillId="0" borderId="48" xfId="0" applyNumberFormat="1" applyBorder="1" applyAlignment="1">
      <alignment horizontal="center"/>
    </xf>
    <xf numFmtId="0" fontId="0" fillId="9" borderId="6" xfId="0" applyFill="1" applyBorder="1" applyAlignment="1">
      <alignment wrapText="1"/>
    </xf>
    <xf numFmtId="167" fontId="0" fillId="9" borderId="43" xfId="0" applyNumberFormat="1" applyFill="1" applyBorder="1" applyAlignment="1">
      <alignment horizontal="center"/>
    </xf>
    <xf numFmtId="0" fontId="6" fillId="9" borderId="0" xfId="0" applyFont="1" applyFill="1"/>
    <xf numFmtId="0" fontId="0" fillId="9" borderId="57" xfId="0" applyFill="1" applyBorder="1" applyAlignment="1">
      <alignment wrapText="1"/>
    </xf>
    <xf numFmtId="0" fontId="0" fillId="9" borderId="45" xfId="0" applyFill="1" applyBorder="1" applyAlignment="1">
      <alignment horizontal="center"/>
    </xf>
    <xf numFmtId="0" fontId="0" fillId="9" borderId="55" xfId="0" applyFill="1" applyBorder="1" applyAlignment="1">
      <alignment horizontal="center"/>
    </xf>
    <xf numFmtId="165" fontId="0" fillId="9" borderId="46" xfId="2" applyNumberFormat="1" applyFont="1" applyFill="1" applyBorder="1" applyAlignment="1" applyProtection="1">
      <alignment horizontal="center" vertical="center"/>
    </xf>
    <xf numFmtId="0" fontId="0" fillId="9" borderId="46" xfId="0" applyFill="1" applyBorder="1" applyAlignment="1">
      <alignment horizontal="center" vertical="center"/>
    </xf>
    <xf numFmtId="165" fontId="0" fillId="9" borderId="48" xfId="2" applyNumberFormat="1" applyFont="1" applyFill="1" applyBorder="1" applyAlignment="1" applyProtection="1">
      <alignment horizontal="center" vertical="center"/>
    </xf>
    <xf numFmtId="0" fontId="7" fillId="9" borderId="45" xfId="0" applyFont="1" applyFill="1" applyBorder="1" applyAlignment="1">
      <alignment horizontal="center" vertical="center" wrapText="1"/>
    </xf>
    <xf numFmtId="0" fontId="0" fillId="9" borderId="46" xfId="0" applyFill="1" applyBorder="1" applyAlignment="1">
      <alignment horizontal="center"/>
    </xf>
    <xf numFmtId="9" fontId="0" fillId="9" borderId="48" xfId="2" applyFont="1" applyFill="1" applyBorder="1" applyAlignment="1" applyProtection="1">
      <alignment horizontal="center"/>
    </xf>
    <xf numFmtId="0" fontId="0" fillId="9" borderId="48" xfId="0" applyFill="1" applyBorder="1" applyAlignment="1">
      <alignment horizontal="center"/>
    </xf>
    <xf numFmtId="167" fontId="0" fillId="9" borderId="47" xfId="0" applyNumberFormat="1" applyFill="1" applyBorder="1" applyAlignment="1">
      <alignment horizontal="center"/>
    </xf>
    <xf numFmtId="167" fontId="0" fillId="9" borderId="48" xfId="0" applyNumberFormat="1" applyFill="1" applyBorder="1" applyAlignment="1">
      <alignment horizontal="center"/>
    </xf>
    <xf numFmtId="0" fontId="0" fillId="9" borderId="49" xfId="0" applyFill="1" applyBorder="1" applyAlignment="1">
      <alignment horizontal="center"/>
    </xf>
    <xf numFmtId="167" fontId="0" fillId="9" borderId="58" xfId="0" applyNumberFormat="1" applyFill="1" applyBorder="1" applyAlignment="1">
      <alignment horizontal="center"/>
    </xf>
    <xf numFmtId="167" fontId="0" fillId="0" borderId="43" xfId="0" applyNumberFormat="1" applyBorder="1" applyAlignment="1">
      <alignment horizontal="center"/>
    </xf>
    <xf numFmtId="167" fontId="0" fillId="0" borderId="58" xfId="0" applyNumberFormat="1" applyBorder="1" applyAlignment="1">
      <alignment horizontal="center"/>
    </xf>
    <xf numFmtId="0" fontId="0" fillId="9" borderId="59" xfId="0" applyFill="1" applyBorder="1" applyAlignment="1">
      <alignment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6F18-A8A4-4CD8-B7FC-1F0768A22DFC}">
  <dimension ref="A1:GX41"/>
  <sheetViews>
    <sheetView tabSelected="1" workbookViewId="0">
      <selection activeCell="A3" sqref="A3:C3"/>
    </sheetView>
  </sheetViews>
  <sheetFormatPr baseColWidth="10" defaultColWidth="11.5703125" defaultRowHeight="15" x14ac:dyDescent="0.25"/>
  <cols>
    <col min="1" max="2" width="11.5703125" style="1"/>
    <col min="3" max="3" width="23.28515625" style="1" customWidth="1"/>
    <col min="4" max="17" width="11.5703125" style="1"/>
    <col min="18" max="19" width="13" style="1" customWidth="1"/>
    <col min="20" max="20" width="14" style="1" customWidth="1"/>
    <col min="21" max="21" width="16" style="1" customWidth="1"/>
    <col min="22" max="16384" width="11.5703125" style="1"/>
  </cols>
  <sheetData>
    <row r="1" spans="1:44" ht="15.75" thickBot="1" x14ac:dyDescent="0.3">
      <c r="C1" s="2"/>
      <c r="D1" s="2"/>
      <c r="E1" s="2"/>
      <c r="F1" s="2"/>
      <c r="G1" s="2"/>
      <c r="H1" s="2"/>
      <c r="K1" s="3"/>
      <c r="M1" s="3"/>
      <c r="N1" s="3"/>
      <c r="O1" s="3"/>
      <c r="P1" s="3"/>
      <c r="Q1" s="3"/>
      <c r="R1" s="3"/>
      <c r="S1" s="3"/>
      <c r="T1" s="3"/>
      <c r="U1" s="3"/>
    </row>
    <row r="2" spans="1:44" ht="32.25" thickBot="1" x14ac:dyDescent="0.55000000000000004">
      <c r="A2" s="4" t="s">
        <v>0</v>
      </c>
      <c r="B2" s="4"/>
      <c r="C2" s="4"/>
      <c r="D2" s="5" t="s">
        <v>1</v>
      </c>
      <c r="E2" s="5"/>
      <c r="F2" s="5"/>
      <c r="G2" s="5"/>
      <c r="H2" s="5"/>
      <c r="I2" s="6" t="s">
        <v>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5" t="s">
        <v>3</v>
      </c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 ht="32.25" thickBot="1" x14ac:dyDescent="0.55000000000000004">
      <c r="A3" s="4" t="s">
        <v>4</v>
      </c>
      <c r="B3" s="4"/>
      <c r="C3" s="4"/>
      <c r="D3" s="7" t="s">
        <v>5</v>
      </c>
      <c r="E3" s="7"/>
      <c r="F3" s="7"/>
      <c r="G3" s="7"/>
      <c r="H3" s="7"/>
      <c r="I3" s="8" t="s">
        <v>6</v>
      </c>
      <c r="J3" s="8"/>
      <c r="K3" s="8"/>
      <c r="L3" s="8"/>
      <c r="M3" s="9" t="s">
        <v>7</v>
      </c>
      <c r="N3" s="9"/>
      <c r="O3" s="9"/>
      <c r="P3" s="9"/>
      <c r="Q3" s="9"/>
      <c r="R3" s="9"/>
      <c r="S3" s="9"/>
      <c r="T3" s="9"/>
      <c r="U3" s="9"/>
      <c r="V3" s="10" t="s">
        <v>8</v>
      </c>
      <c r="W3" s="10"/>
      <c r="X3" s="10"/>
      <c r="Y3" s="10"/>
      <c r="Z3" s="10"/>
      <c r="AA3" s="10"/>
      <c r="AB3" s="11" t="s">
        <v>9</v>
      </c>
      <c r="AC3" s="11"/>
      <c r="AD3" s="11"/>
      <c r="AE3" s="11"/>
      <c r="AF3" s="11"/>
      <c r="AG3" s="11"/>
      <c r="AH3" s="8" t="s">
        <v>6</v>
      </c>
      <c r="AI3" s="8"/>
      <c r="AJ3" s="9" t="s">
        <v>10</v>
      </c>
      <c r="AK3" s="9"/>
      <c r="AL3" s="9"/>
      <c r="AM3" s="9"/>
      <c r="AN3" s="9"/>
      <c r="AO3" s="9"/>
      <c r="AP3" s="9"/>
      <c r="AQ3" s="9"/>
      <c r="AR3" s="9"/>
    </row>
    <row r="4" spans="1:44" ht="23.25" customHeight="1" thickBot="1" x14ac:dyDescent="0.3">
      <c r="C4" s="2"/>
      <c r="D4" s="12" t="s">
        <v>11</v>
      </c>
      <c r="E4" s="13" t="s">
        <v>12</v>
      </c>
      <c r="F4" s="13" t="s">
        <v>13</v>
      </c>
      <c r="G4" s="13" t="s">
        <v>14</v>
      </c>
      <c r="H4" s="14" t="s">
        <v>15</v>
      </c>
      <c r="I4" s="12" t="s">
        <v>11</v>
      </c>
      <c r="J4" s="13" t="s">
        <v>16</v>
      </c>
      <c r="K4" s="13" t="s">
        <v>14</v>
      </c>
      <c r="L4" s="13" t="s">
        <v>17</v>
      </c>
      <c r="M4" s="15" t="s">
        <v>18</v>
      </c>
      <c r="N4" s="15"/>
      <c r="O4" s="15"/>
      <c r="P4" s="15"/>
      <c r="Q4" s="16" t="s">
        <v>19</v>
      </c>
      <c r="R4" s="16"/>
      <c r="S4" s="17" t="s">
        <v>20</v>
      </c>
      <c r="T4" s="17"/>
      <c r="U4" s="17"/>
      <c r="V4" s="18">
        <v>3</v>
      </c>
      <c r="W4" s="19">
        <v>4</v>
      </c>
      <c r="X4" s="19">
        <v>5</v>
      </c>
      <c r="Y4" s="19">
        <v>6</v>
      </c>
      <c r="Z4" s="20">
        <v>7</v>
      </c>
      <c r="AA4" s="20">
        <v>8</v>
      </c>
      <c r="AB4" s="21" t="s">
        <v>21</v>
      </c>
      <c r="AC4" s="21"/>
      <c r="AD4" s="22" t="s">
        <v>22</v>
      </c>
      <c r="AE4" s="22"/>
      <c r="AF4" s="23" t="s">
        <v>23</v>
      </c>
      <c r="AG4" s="23"/>
      <c r="AH4" s="12" t="s">
        <v>11</v>
      </c>
      <c r="AI4" s="13" t="s">
        <v>14</v>
      </c>
      <c r="AJ4" s="24" t="s">
        <v>18</v>
      </c>
      <c r="AK4" s="24"/>
      <c r="AL4" s="24"/>
      <c r="AM4" s="24"/>
      <c r="AN4" s="24" t="s">
        <v>19</v>
      </c>
      <c r="AO4" s="24"/>
      <c r="AP4" s="16" t="s">
        <v>20</v>
      </c>
      <c r="AQ4" s="16"/>
      <c r="AR4" s="16"/>
    </row>
    <row r="5" spans="1:44" ht="30.75" thickBot="1" x14ac:dyDescent="0.3">
      <c r="C5" s="2"/>
      <c r="D5" s="12"/>
      <c r="E5" s="13"/>
      <c r="F5" s="13"/>
      <c r="G5" s="13"/>
      <c r="H5" s="14"/>
      <c r="I5" s="12"/>
      <c r="J5" s="13"/>
      <c r="K5" s="13"/>
      <c r="L5" s="13"/>
      <c r="M5" s="25" t="s">
        <v>24</v>
      </c>
      <c r="N5" s="26" t="s">
        <v>25</v>
      </c>
      <c r="O5" s="26" t="s">
        <v>26</v>
      </c>
      <c r="P5" s="27" t="s">
        <v>27</v>
      </c>
      <c r="Q5" s="28" t="s">
        <v>28</v>
      </c>
      <c r="R5" s="29" t="s">
        <v>29</v>
      </c>
      <c r="S5" s="28" t="s">
        <v>30</v>
      </c>
      <c r="T5" s="30" t="s">
        <v>31</v>
      </c>
      <c r="U5" s="30" t="s">
        <v>32</v>
      </c>
      <c r="V5" s="31" t="s">
        <v>33</v>
      </c>
      <c r="W5" s="32" t="s">
        <v>33</v>
      </c>
      <c r="X5" s="32" t="s">
        <v>33</v>
      </c>
      <c r="Y5" s="32" t="s">
        <v>33</v>
      </c>
      <c r="Z5" s="32" t="s">
        <v>33</v>
      </c>
      <c r="AA5" s="33" t="s">
        <v>33</v>
      </c>
      <c r="AB5" s="34" t="s">
        <v>33</v>
      </c>
      <c r="AC5" s="35" t="s">
        <v>34</v>
      </c>
      <c r="AD5" s="36" t="s">
        <v>33</v>
      </c>
      <c r="AE5" s="35" t="s">
        <v>34</v>
      </c>
      <c r="AF5" s="36" t="s">
        <v>33</v>
      </c>
      <c r="AG5" s="37" t="s">
        <v>34</v>
      </c>
      <c r="AH5" s="12"/>
      <c r="AI5" s="13"/>
      <c r="AJ5" s="38" t="s">
        <v>24</v>
      </c>
      <c r="AK5" s="39" t="s">
        <v>25</v>
      </c>
      <c r="AL5" s="39" t="s">
        <v>35</v>
      </c>
      <c r="AM5" s="40" t="s">
        <v>27</v>
      </c>
      <c r="AN5" s="38" t="s">
        <v>28</v>
      </c>
      <c r="AO5" s="40" t="s">
        <v>29</v>
      </c>
      <c r="AP5" s="30" t="s">
        <v>30</v>
      </c>
      <c r="AQ5" s="30" t="s">
        <v>31</v>
      </c>
      <c r="AR5" s="29" t="s">
        <v>32</v>
      </c>
    </row>
    <row r="6" spans="1:44" ht="15.75" thickBot="1" x14ac:dyDescent="0.3">
      <c r="C6" s="41" t="s">
        <v>36</v>
      </c>
      <c r="D6" s="42">
        <f>SUM(D7:D18)</f>
        <v>21208</v>
      </c>
      <c r="E6" s="43">
        <f>SUM(E7:E18)</f>
        <v>568235</v>
      </c>
      <c r="F6" s="44">
        <f t="shared" ref="F6:F41" si="0">D6/E6</f>
        <v>3.7322586605893687E-2</v>
      </c>
      <c r="G6" s="43">
        <f>SUM(G7:G18)</f>
        <v>8028</v>
      </c>
      <c r="H6" s="45">
        <f t="shared" ref="H6:H41" si="1">G6/E6</f>
        <v>1.4127957623166472E-2</v>
      </c>
      <c r="I6" s="46">
        <f>SUM(I7:I18)</f>
        <v>20935</v>
      </c>
      <c r="J6" s="47">
        <f t="shared" ref="J6:J41" si="2">I6/D6</f>
        <v>0.98712749905695962</v>
      </c>
      <c r="K6" s="48">
        <f>SUM(K7:K18)</f>
        <v>7977</v>
      </c>
      <c r="L6" s="47">
        <f t="shared" ref="L6:L41" si="3">K6/G6</f>
        <v>0.99364723467862481</v>
      </c>
      <c r="M6" s="42">
        <f t="shared" ref="M6:AB6" si="4">SUM(M7:M18)</f>
        <v>12675</v>
      </c>
      <c r="N6" s="43">
        <f t="shared" si="4"/>
        <v>4722</v>
      </c>
      <c r="O6" s="43">
        <f t="shared" si="4"/>
        <v>1957</v>
      </c>
      <c r="P6" s="49">
        <f t="shared" si="4"/>
        <v>1586</v>
      </c>
      <c r="Q6" s="42">
        <f t="shared" si="4"/>
        <v>6356</v>
      </c>
      <c r="R6" s="49">
        <f t="shared" si="4"/>
        <v>14579</v>
      </c>
      <c r="S6" s="50">
        <f t="shared" si="4"/>
        <v>10854</v>
      </c>
      <c r="T6" s="43">
        <f t="shared" si="4"/>
        <v>7945</v>
      </c>
      <c r="U6" s="51">
        <f t="shared" si="4"/>
        <v>2136</v>
      </c>
      <c r="V6" s="42">
        <f t="shared" si="4"/>
        <v>226</v>
      </c>
      <c r="W6" s="43">
        <f t="shared" si="4"/>
        <v>935</v>
      </c>
      <c r="X6" s="43">
        <f t="shared" si="4"/>
        <v>7685</v>
      </c>
      <c r="Y6" s="43">
        <f t="shared" si="4"/>
        <v>10410</v>
      </c>
      <c r="Z6" s="43">
        <f t="shared" si="4"/>
        <v>1435</v>
      </c>
      <c r="AA6" s="43">
        <f t="shared" si="4"/>
        <v>393</v>
      </c>
      <c r="AB6" s="43">
        <f t="shared" si="4"/>
        <v>17980</v>
      </c>
      <c r="AC6" s="52">
        <f>AVERAGE(AC7:AC18)</f>
        <v>0.83884375</v>
      </c>
      <c r="AD6" s="43">
        <f>SUM(AD7:AD18)</f>
        <v>2024</v>
      </c>
      <c r="AE6" s="52">
        <f>AVERAGE(AE7:AE18)</f>
        <v>0.10370625</v>
      </c>
      <c r="AF6" s="43">
        <f>SUM(AF7:AF18)</f>
        <v>931</v>
      </c>
      <c r="AG6" s="52">
        <f>AVERAGE(AG7:AG18)</f>
        <v>5.7452083333333341E-2</v>
      </c>
      <c r="AH6" s="53">
        <f t="shared" ref="AH6:AR6" si="5">SUM(AH7:AH18)</f>
        <v>273</v>
      </c>
      <c r="AI6" s="54">
        <f t="shared" si="5"/>
        <v>51</v>
      </c>
      <c r="AJ6" s="55">
        <f t="shared" si="5"/>
        <v>6</v>
      </c>
      <c r="AK6" s="56">
        <f t="shared" si="5"/>
        <v>209</v>
      </c>
      <c r="AL6" s="56">
        <f t="shared" si="5"/>
        <v>49</v>
      </c>
      <c r="AM6" s="57">
        <f t="shared" si="5"/>
        <v>9</v>
      </c>
      <c r="AN6" s="42">
        <f t="shared" si="5"/>
        <v>18</v>
      </c>
      <c r="AO6" s="49">
        <f t="shared" si="5"/>
        <v>257</v>
      </c>
      <c r="AP6" s="50">
        <f t="shared" si="5"/>
        <v>68</v>
      </c>
      <c r="AQ6" s="43">
        <f t="shared" si="5"/>
        <v>183</v>
      </c>
      <c r="AR6" s="49">
        <f t="shared" si="5"/>
        <v>22</v>
      </c>
    </row>
    <row r="7" spans="1:44" x14ac:dyDescent="0.25">
      <c r="A7" s="2"/>
      <c r="B7" s="2"/>
      <c r="C7" s="58" t="s">
        <v>37</v>
      </c>
      <c r="D7" s="59">
        <f>SUM(D19:D20)</f>
        <v>1450</v>
      </c>
      <c r="E7" s="60">
        <f>SUM(E19:E20)</f>
        <v>39859</v>
      </c>
      <c r="F7" s="61">
        <f t="shared" si="0"/>
        <v>3.6378233272284802E-2</v>
      </c>
      <c r="G7" s="60">
        <f>SUM(G19:G20)</f>
        <v>583</v>
      </c>
      <c r="H7" s="62">
        <f t="shared" si="1"/>
        <v>1.4626558619132441E-2</v>
      </c>
      <c r="I7" s="63">
        <f>SUM(I19:I20)</f>
        <v>1424</v>
      </c>
      <c r="J7" s="64">
        <f t="shared" si="2"/>
        <v>0.98206896551724143</v>
      </c>
      <c r="K7" s="65">
        <f>SUM(K19:K20)</f>
        <v>576</v>
      </c>
      <c r="L7" s="66">
        <f t="shared" si="3"/>
        <v>0.98799313893653518</v>
      </c>
      <c r="M7" s="67">
        <f t="shared" ref="M7:AB7" si="6">SUM(M19:M20)</f>
        <v>978</v>
      </c>
      <c r="N7" s="68">
        <f t="shared" si="6"/>
        <v>214</v>
      </c>
      <c r="O7" s="68">
        <f t="shared" si="6"/>
        <v>83</v>
      </c>
      <c r="P7" s="69">
        <f t="shared" si="6"/>
        <v>149</v>
      </c>
      <c r="Q7" s="67">
        <f t="shared" si="6"/>
        <v>627</v>
      </c>
      <c r="R7" s="69">
        <f t="shared" si="6"/>
        <v>797</v>
      </c>
      <c r="S7" s="70">
        <f t="shared" si="6"/>
        <v>695</v>
      </c>
      <c r="T7" s="68">
        <f t="shared" si="6"/>
        <v>560</v>
      </c>
      <c r="U7" s="71">
        <f t="shared" si="6"/>
        <v>169</v>
      </c>
      <c r="V7" s="72">
        <f t="shared" si="6"/>
        <v>7</v>
      </c>
      <c r="W7" s="73">
        <f t="shared" si="6"/>
        <v>47</v>
      </c>
      <c r="X7" s="74">
        <f t="shared" si="6"/>
        <v>410</v>
      </c>
      <c r="Y7" s="73">
        <f t="shared" si="6"/>
        <v>798</v>
      </c>
      <c r="Z7" s="74">
        <f t="shared" si="6"/>
        <v>122</v>
      </c>
      <c r="AA7" s="75">
        <f t="shared" si="6"/>
        <v>40</v>
      </c>
      <c r="AB7" s="73">
        <f t="shared" si="6"/>
        <v>1296</v>
      </c>
      <c r="AC7" s="76">
        <f>AVERAGE(AC19:AC20)</f>
        <v>0.91459999999999997</v>
      </c>
      <c r="AD7" s="73">
        <f>SUM(AD19:AD20)</f>
        <v>95</v>
      </c>
      <c r="AE7" s="76">
        <f>AVERAGE(AE19:AE20)</f>
        <v>6.3500000000000001E-2</v>
      </c>
      <c r="AF7" s="73">
        <f>SUM(AF19:AF20)</f>
        <v>33</v>
      </c>
      <c r="AG7" s="76">
        <f>AVERAGE(AG19:AG20)</f>
        <v>2.1899999999999999E-2</v>
      </c>
      <c r="AH7" s="77">
        <f>SUM(AH19:AH20)</f>
        <v>26</v>
      </c>
      <c r="AI7" s="78">
        <f>SUM(AI19:AI20)</f>
        <v>7</v>
      </c>
      <c r="AJ7" s="79">
        <f>SUM(AJ19:AJ20)</f>
        <v>2</v>
      </c>
      <c r="AK7" s="80">
        <v>21</v>
      </c>
      <c r="AL7" s="80">
        <v>2</v>
      </c>
      <c r="AM7" s="81">
        <v>1</v>
      </c>
      <c r="AN7" s="82">
        <v>2</v>
      </c>
      <c r="AO7" s="83">
        <v>24</v>
      </c>
      <c r="AP7" s="84">
        <v>6</v>
      </c>
      <c r="AQ7" s="85">
        <v>15</v>
      </c>
      <c r="AR7" s="83">
        <v>5</v>
      </c>
    </row>
    <row r="8" spans="1:44" x14ac:dyDescent="0.25">
      <c r="A8" s="2"/>
      <c r="B8" s="2"/>
      <c r="C8" s="86" t="s">
        <v>38</v>
      </c>
      <c r="D8" s="87">
        <f>SUM(D21:D22)</f>
        <v>1171</v>
      </c>
      <c r="E8" s="88">
        <f>SUM(E21:E22)</f>
        <v>33554</v>
      </c>
      <c r="F8" s="89">
        <f t="shared" si="0"/>
        <v>3.4898968826369434E-2</v>
      </c>
      <c r="G8" s="88">
        <f>SUM(G21:G22)</f>
        <v>433</v>
      </c>
      <c r="H8" s="90">
        <f t="shared" si="1"/>
        <v>1.2904571735113548E-2</v>
      </c>
      <c r="I8" s="91">
        <f>SUM(I21:I22)</f>
        <v>1162</v>
      </c>
      <c r="J8" s="89">
        <f t="shared" si="2"/>
        <v>0.99231426131511524</v>
      </c>
      <c r="K8" s="88">
        <f>SUM(K21:K22)</f>
        <v>433</v>
      </c>
      <c r="L8" s="92">
        <f t="shared" si="3"/>
        <v>1</v>
      </c>
      <c r="M8" s="93">
        <f>SUM(M21:M22)</f>
        <v>873</v>
      </c>
      <c r="N8" s="94">
        <f>SUM(N21:N22)</f>
        <v>152</v>
      </c>
      <c r="O8" s="94">
        <f>SUM(O19:O20)</f>
        <v>83</v>
      </c>
      <c r="P8" s="95">
        <f t="shared" ref="P8:U8" si="7">SUM(P21:P22)</f>
        <v>59</v>
      </c>
      <c r="Q8" s="93">
        <f t="shared" si="7"/>
        <v>447</v>
      </c>
      <c r="R8" s="95">
        <f t="shared" si="7"/>
        <v>715</v>
      </c>
      <c r="S8" s="96">
        <f t="shared" si="7"/>
        <v>567</v>
      </c>
      <c r="T8" s="94">
        <f t="shared" si="7"/>
        <v>461</v>
      </c>
      <c r="U8" s="97">
        <f t="shared" si="7"/>
        <v>134</v>
      </c>
      <c r="V8" s="98">
        <v>35</v>
      </c>
      <c r="W8" s="99">
        <f t="shared" ref="W8:AB8" si="8">SUM(W21:W22)</f>
        <v>130</v>
      </c>
      <c r="X8" s="100">
        <f t="shared" si="8"/>
        <v>207</v>
      </c>
      <c r="Y8" s="99">
        <f t="shared" si="8"/>
        <v>703</v>
      </c>
      <c r="Z8" s="100">
        <f t="shared" si="8"/>
        <v>98</v>
      </c>
      <c r="AA8" s="101">
        <f t="shared" si="8"/>
        <v>23</v>
      </c>
      <c r="AB8" s="99">
        <f t="shared" si="8"/>
        <v>1006</v>
      </c>
      <c r="AC8" s="102">
        <f>AVERAGE(AC21:AC22)</f>
        <v>0.85845000000000005</v>
      </c>
      <c r="AD8" s="99">
        <f>SUM(AD21:AD22)</f>
        <v>104</v>
      </c>
      <c r="AE8" s="102">
        <f>AVERAGE(AE21:AE22)</f>
        <v>9.4E-2</v>
      </c>
      <c r="AF8" s="99">
        <f>SUM(AF21:AF22)</f>
        <v>52</v>
      </c>
      <c r="AG8" s="102">
        <f>AVERAGE(AG21:AG22)</f>
        <v>4.7549999999999995E-2</v>
      </c>
      <c r="AH8" s="103">
        <f>SUM(AH21:AH22)</f>
        <v>9</v>
      </c>
      <c r="AI8" s="104">
        <f>SUM(AI21:AI22)</f>
        <v>0</v>
      </c>
      <c r="AJ8" s="105">
        <f>SUM(AJ21:AJ22)</f>
        <v>1</v>
      </c>
      <c r="AK8" s="106">
        <v>1</v>
      </c>
      <c r="AL8" s="106">
        <v>6</v>
      </c>
      <c r="AM8" s="107">
        <v>1</v>
      </c>
      <c r="AN8" s="108">
        <v>8</v>
      </c>
      <c r="AO8" s="109">
        <v>3</v>
      </c>
      <c r="AP8" s="105">
        <v>0</v>
      </c>
      <c r="AQ8" s="106">
        <v>6</v>
      </c>
      <c r="AR8" s="109">
        <v>3</v>
      </c>
    </row>
    <row r="9" spans="1:44" x14ac:dyDescent="0.25">
      <c r="A9" s="2"/>
      <c r="B9" s="2"/>
      <c r="C9" s="86" t="s">
        <v>39</v>
      </c>
      <c r="D9" s="110">
        <f>SUM(D23:D24)</f>
        <v>2220</v>
      </c>
      <c r="E9" s="111">
        <f>SUM(E23:E24)</f>
        <v>40477</v>
      </c>
      <c r="F9" s="112">
        <f t="shared" si="0"/>
        <v>5.4845961904291328E-2</v>
      </c>
      <c r="G9" s="111">
        <f>SUM(G23:G24)</f>
        <v>1072</v>
      </c>
      <c r="H9" s="113">
        <f t="shared" si="1"/>
        <v>2.6484176198828965E-2</v>
      </c>
      <c r="I9" s="114">
        <f>SUM(I23:I24)</f>
        <v>2219</v>
      </c>
      <c r="J9" s="112">
        <f t="shared" si="2"/>
        <v>0.99954954954954955</v>
      </c>
      <c r="K9" s="111">
        <f>SUM(K23:K24)</f>
        <v>1071</v>
      </c>
      <c r="L9" s="115">
        <f t="shared" si="3"/>
        <v>0.99906716417910446</v>
      </c>
      <c r="M9" s="116">
        <f t="shared" ref="M9:U9" si="9">SUM(M23:M24)</f>
        <v>1295</v>
      </c>
      <c r="N9" s="117">
        <f t="shared" si="9"/>
        <v>714</v>
      </c>
      <c r="O9" s="117">
        <f t="shared" si="9"/>
        <v>121</v>
      </c>
      <c r="P9" s="118">
        <f t="shared" si="9"/>
        <v>89</v>
      </c>
      <c r="Q9" s="116">
        <f t="shared" si="9"/>
        <v>518</v>
      </c>
      <c r="R9" s="118">
        <f t="shared" si="9"/>
        <v>1701</v>
      </c>
      <c r="S9" s="119">
        <f t="shared" si="9"/>
        <v>1019</v>
      </c>
      <c r="T9" s="117">
        <f t="shared" si="9"/>
        <v>976</v>
      </c>
      <c r="U9" s="120">
        <f t="shared" si="9"/>
        <v>224</v>
      </c>
      <c r="V9" s="121">
        <v>11</v>
      </c>
      <c r="W9" s="122">
        <f t="shared" ref="W9:AB9" si="10">SUM(W23:W24)</f>
        <v>51</v>
      </c>
      <c r="X9" s="123">
        <f t="shared" si="10"/>
        <v>891</v>
      </c>
      <c r="Y9" s="122">
        <f t="shared" si="10"/>
        <v>988</v>
      </c>
      <c r="Z9" s="123">
        <f t="shared" si="10"/>
        <v>228</v>
      </c>
      <c r="AA9" s="124">
        <f t="shared" si="10"/>
        <v>57</v>
      </c>
      <c r="AB9" s="122">
        <f t="shared" si="10"/>
        <v>1785</v>
      </c>
      <c r="AC9" s="125">
        <f>AVERAGE(AC23:AC24)</f>
        <v>0.80564999999999998</v>
      </c>
      <c r="AD9" s="122">
        <f>SUM(AD23:AD24)</f>
        <v>314</v>
      </c>
      <c r="AE9" s="125">
        <f>AVERAGE(AE23:AE24)</f>
        <v>0.14050000000000001</v>
      </c>
      <c r="AF9" s="122">
        <f>SUM(AF23:AF24)</f>
        <v>120</v>
      </c>
      <c r="AG9" s="125">
        <f>AVERAGE(AG23:AG24)</f>
        <v>5.3800000000000001E-2</v>
      </c>
      <c r="AH9" s="126">
        <f>SUM(AH23:AH24)</f>
        <v>1</v>
      </c>
      <c r="AI9" s="127">
        <v>1</v>
      </c>
      <c r="AJ9" s="128">
        <v>0</v>
      </c>
      <c r="AK9" s="129">
        <v>0</v>
      </c>
      <c r="AL9" s="129">
        <v>1</v>
      </c>
      <c r="AM9" s="130">
        <v>0</v>
      </c>
      <c r="AN9" s="131">
        <v>0</v>
      </c>
      <c r="AO9" s="132">
        <v>1</v>
      </c>
      <c r="AP9" s="128">
        <v>0</v>
      </c>
      <c r="AQ9" s="129">
        <v>1</v>
      </c>
      <c r="AR9" s="132">
        <v>0</v>
      </c>
    </row>
    <row r="10" spans="1:44" x14ac:dyDescent="0.25">
      <c r="A10" s="2"/>
      <c r="B10" s="2"/>
      <c r="C10" s="86" t="s">
        <v>40</v>
      </c>
      <c r="D10" s="87">
        <f>SUM(D25)</f>
        <v>491</v>
      </c>
      <c r="E10" s="88">
        <f>SUM(E25)</f>
        <v>8779</v>
      </c>
      <c r="F10" s="89">
        <f t="shared" si="0"/>
        <v>5.5928921289440714E-2</v>
      </c>
      <c r="G10" s="88">
        <f>SUM(G25)</f>
        <v>262</v>
      </c>
      <c r="H10" s="90">
        <f t="shared" si="1"/>
        <v>2.984394577970156E-2</v>
      </c>
      <c r="I10" s="91">
        <f>I25</f>
        <v>487</v>
      </c>
      <c r="J10" s="89">
        <f t="shared" si="2"/>
        <v>0.99185336048879835</v>
      </c>
      <c r="K10" s="88">
        <f>SUM(K25)</f>
        <v>261</v>
      </c>
      <c r="L10" s="133">
        <f t="shared" si="3"/>
        <v>0.99618320610687028</v>
      </c>
      <c r="M10" s="93">
        <f t="shared" ref="M10:U10" si="11">SUM(M25)</f>
        <v>304</v>
      </c>
      <c r="N10" s="94">
        <f t="shared" si="11"/>
        <v>132</v>
      </c>
      <c r="O10" s="94">
        <f t="shared" si="11"/>
        <v>29</v>
      </c>
      <c r="P10" s="95">
        <f t="shared" si="11"/>
        <v>22</v>
      </c>
      <c r="Q10" s="93">
        <f t="shared" si="11"/>
        <v>123</v>
      </c>
      <c r="R10" s="95">
        <f t="shared" si="11"/>
        <v>364</v>
      </c>
      <c r="S10" s="96">
        <f t="shared" si="11"/>
        <v>237</v>
      </c>
      <c r="T10" s="94">
        <f t="shared" si="11"/>
        <v>188</v>
      </c>
      <c r="U10" s="97">
        <f t="shared" si="11"/>
        <v>62</v>
      </c>
      <c r="V10" s="98">
        <v>4</v>
      </c>
      <c r="W10" s="99">
        <f t="shared" ref="W10:AB10" si="12">SUM(W25)</f>
        <v>14</v>
      </c>
      <c r="X10" s="100">
        <f t="shared" si="12"/>
        <v>243</v>
      </c>
      <c r="Y10" s="99">
        <f t="shared" si="12"/>
        <v>155</v>
      </c>
      <c r="Z10" s="100">
        <f t="shared" si="12"/>
        <v>47</v>
      </c>
      <c r="AA10" s="101">
        <f t="shared" si="12"/>
        <v>27</v>
      </c>
      <c r="AB10" s="99">
        <f t="shared" si="12"/>
        <v>421</v>
      </c>
      <c r="AC10" s="102">
        <f>AVERAGE(AC25)</f>
        <v>0.86450000000000005</v>
      </c>
      <c r="AD10" s="99">
        <f>SUM(AD25)</f>
        <v>41</v>
      </c>
      <c r="AE10" s="102">
        <f>AVERAGE(AE25)</f>
        <v>8.4199999999999997E-2</v>
      </c>
      <c r="AF10" s="99">
        <f>SUM(AF25)</f>
        <v>25</v>
      </c>
      <c r="AG10" s="102">
        <f>AVERAGE(AG25)</f>
        <v>5.1299999999999998E-2</v>
      </c>
      <c r="AH10" s="103">
        <f>SUM(AH25)</f>
        <v>4</v>
      </c>
      <c r="AI10" s="104">
        <f>SUM(AI23:AI24)</f>
        <v>1</v>
      </c>
      <c r="AJ10" s="105">
        <v>0</v>
      </c>
      <c r="AK10" s="106">
        <v>4</v>
      </c>
      <c r="AL10" s="106">
        <v>0</v>
      </c>
      <c r="AM10" s="107">
        <v>0</v>
      </c>
      <c r="AN10" s="108">
        <v>0</v>
      </c>
      <c r="AO10" s="109">
        <v>4</v>
      </c>
      <c r="AP10" s="105">
        <v>0</v>
      </c>
      <c r="AQ10" s="106">
        <v>3</v>
      </c>
      <c r="AR10" s="109">
        <v>1</v>
      </c>
    </row>
    <row r="11" spans="1:44" x14ac:dyDescent="0.25">
      <c r="A11" s="2"/>
      <c r="B11" s="2"/>
      <c r="C11" s="86" t="s">
        <v>41</v>
      </c>
      <c r="D11" s="110">
        <f>SUM(D26:D27)</f>
        <v>1846</v>
      </c>
      <c r="E11" s="111">
        <f>SUM(E26:E27)</f>
        <v>40788</v>
      </c>
      <c r="F11" s="112">
        <f t="shared" si="0"/>
        <v>4.525840933607924E-2</v>
      </c>
      <c r="G11" s="111">
        <f>SUM(G26:G27)</f>
        <v>790</v>
      </c>
      <c r="H11" s="113">
        <f t="shared" si="1"/>
        <v>1.9368441698538786E-2</v>
      </c>
      <c r="I11" s="114">
        <f>SUM(I26:I27)</f>
        <v>1838</v>
      </c>
      <c r="J11" s="112">
        <f t="shared" si="2"/>
        <v>0.99566630552546043</v>
      </c>
      <c r="K11" s="111">
        <f>SUM(K26:K27)</f>
        <v>789</v>
      </c>
      <c r="L11" s="115">
        <f t="shared" si="3"/>
        <v>0.99873417721518987</v>
      </c>
      <c r="M11" s="116">
        <f t="shared" ref="M11:U11" si="13">SUM(M26:M27)</f>
        <v>1243</v>
      </c>
      <c r="N11" s="117">
        <f t="shared" si="13"/>
        <v>378</v>
      </c>
      <c r="O11" s="117">
        <f t="shared" si="13"/>
        <v>93</v>
      </c>
      <c r="P11" s="118">
        <f t="shared" si="13"/>
        <v>124</v>
      </c>
      <c r="Q11" s="116">
        <f t="shared" si="13"/>
        <v>603</v>
      </c>
      <c r="R11" s="118">
        <f t="shared" si="13"/>
        <v>1235</v>
      </c>
      <c r="S11" s="119">
        <f t="shared" si="13"/>
        <v>964</v>
      </c>
      <c r="T11" s="117">
        <f t="shared" si="13"/>
        <v>691</v>
      </c>
      <c r="U11" s="120">
        <f t="shared" si="13"/>
        <v>183</v>
      </c>
      <c r="V11" s="121">
        <v>15</v>
      </c>
      <c r="W11" s="122">
        <f t="shared" ref="W11:AB11" si="14">SUM(W26:W27)</f>
        <v>37</v>
      </c>
      <c r="X11" s="123">
        <f t="shared" si="14"/>
        <v>730</v>
      </c>
      <c r="Y11" s="122">
        <f t="shared" si="14"/>
        <v>910</v>
      </c>
      <c r="Z11" s="123">
        <f t="shared" si="14"/>
        <v>110</v>
      </c>
      <c r="AA11" s="124">
        <f t="shared" si="14"/>
        <v>45</v>
      </c>
      <c r="AB11" s="122">
        <f t="shared" si="14"/>
        <v>1509</v>
      </c>
      <c r="AC11" s="125">
        <f>AVERAGE(AC26:AC27)</f>
        <v>0.80745</v>
      </c>
      <c r="AD11" s="122">
        <f>SUM(AD26:AD27)</f>
        <v>249</v>
      </c>
      <c r="AE11" s="125">
        <f>AVERAGE(AE26:AE27)</f>
        <v>0.1401</v>
      </c>
      <c r="AF11" s="122">
        <f>SUM(AF26:AF27)</f>
        <v>80</v>
      </c>
      <c r="AG11" s="125">
        <f>AVERAGE(AG26:AG27)</f>
        <v>5.2449999999999997E-2</v>
      </c>
      <c r="AH11" s="126">
        <f>SUM(AH26:AH27)</f>
        <v>8</v>
      </c>
      <c r="AI11" s="127">
        <v>1</v>
      </c>
      <c r="AJ11" s="128">
        <v>2</v>
      </c>
      <c r="AK11" s="129">
        <v>4</v>
      </c>
      <c r="AL11" s="129">
        <v>1</v>
      </c>
      <c r="AM11" s="130">
        <v>1</v>
      </c>
      <c r="AN11" s="131">
        <v>1</v>
      </c>
      <c r="AO11" s="132">
        <v>7</v>
      </c>
      <c r="AP11" s="128">
        <v>1</v>
      </c>
      <c r="AQ11" s="129">
        <v>7</v>
      </c>
      <c r="AR11" s="132">
        <v>0</v>
      </c>
    </row>
    <row r="12" spans="1:44" x14ac:dyDescent="0.25">
      <c r="A12" s="2"/>
      <c r="B12" s="2"/>
      <c r="C12" s="86" t="s">
        <v>42</v>
      </c>
      <c r="D12" s="87">
        <f>SUM(D28)</f>
        <v>609</v>
      </c>
      <c r="E12" s="88">
        <f>SUM(E28)</f>
        <v>15059</v>
      </c>
      <c r="F12" s="89">
        <f t="shared" si="0"/>
        <v>4.0440932332824225E-2</v>
      </c>
      <c r="G12" s="88">
        <f>SUM(G28)</f>
        <v>177</v>
      </c>
      <c r="H12" s="90">
        <f t="shared" si="1"/>
        <v>1.1753768510525267E-2</v>
      </c>
      <c r="I12" s="91">
        <f>I28</f>
        <v>609</v>
      </c>
      <c r="J12" s="89">
        <f t="shared" si="2"/>
        <v>1</v>
      </c>
      <c r="K12" s="88">
        <f>SUM(K28)</f>
        <v>177</v>
      </c>
      <c r="L12" s="133">
        <f t="shared" si="3"/>
        <v>1</v>
      </c>
      <c r="M12" s="93">
        <f t="shared" ref="M12:U12" si="15">SUM(M28)</f>
        <v>405</v>
      </c>
      <c r="N12" s="94">
        <f t="shared" si="15"/>
        <v>104</v>
      </c>
      <c r="O12" s="94">
        <f t="shared" si="15"/>
        <v>37</v>
      </c>
      <c r="P12" s="95">
        <f t="shared" si="15"/>
        <v>63</v>
      </c>
      <c r="Q12" s="93">
        <f t="shared" si="15"/>
        <v>277</v>
      </c>
      <c r="R12" s="95">
        <f t="shared" si="15"/>
        <v>332</v>
      </c>
      <c r="S12" s="96">
        <f t="shared" si="15"/>
        <v>294</v>
      </c>
      <c r="T12" s="94">
        <f t="shared" si="15"/>
        <v>242</v>
      </c>
      <c r="U12" s="97">
        <f t="shared" si="15"/>
        <v>73</v>
      </c>
      <c r="V12" s="98">
        <v>33</v>
      </c>
      <c r="W12" s="99">
        <f t="shared" ref="W12:AB12" si="16">SUM(W28)</f>
        <v>12</v>
      </c>
      <c r="X12" s="100">
        <f t="shared" si="16"/>
        <v>188</v>
      </c>
      <c r="Y12" s="99">
        <f t="shared" si="16"/>
        <v>368</v>
      </c>
      <c r="Z12" s="100">
        <f t="shared" si="16"/>
        <v>39</v>
      </c>
      <c r="AA12" s="101">
        <f t="shared" si="16"/>
        <v>2</v>
      </c>
      <c r="AB12" s="99">
        <f t="shared" si="16"/>
        <v>488</v>
      </c>
      <c r="AC12" s="102">
        <f>AVERAGE(AC28)</f>
        <v>0.80130000000000001</v>
      </c>
      <c r="AD12" s="99">
        <f>SUM(AD28)</f>
        <v>72</v>
      </c>
      <c r="AE12" s="102">
        <f>AVERAGE(AE28)</f>
        <v>0.1182</v>
      </c>
      <c r="AF12" s="99">
        <f>SUM(AF28)</f>
        <v>49</v>
      </c>
      <c r="AG12" s="102">
        <f>AVERAGE(AG28)</f>
        <v>8.0500000000000002E-2</v>
      </c>
      <c r="AH12" s="103">
        <f>SUM(AH28)</f>
        <v>0</v>
      </c>
      <c r="AI12" s="104">
        <v>0</v>
      </c>
      <c r="AJ12" s="105">
        <v>0</v>
      </c>
      <c r="AK12" s="106">
        <v>0</v>
      </c>
      <c r="AL12" s="106">
        <v>0</v>
      </c>
      <c r="AM12" s="107">
        <v>0</v>
      </c>
      <c r="AN12" s="108">
        <v>0</v>
      </c>
      <c r="AO12" s="109">
        <v>0</v>
      </c>
      <c r="AP12" s="105">
        <v>0</v>
      </c>
      <c r="AQ12" s="106">
        <v>0</v>
      </c>
      <c r="AR12" s="109">
        <v>0</v>
      </c>
    </row>
    <row r="13" spans="1:44" x14ac:dyDescent="0.25">
      <c r="A13" s="2"/>
      <c r="B13" s="2"/>
      <c r="C13" s="86" t="s">
        <v>43</v>
      </c>
      <c r="D13" s="110">
        <f>SUM(D29:D30)</f>
        <v>1039</v>
      </c>
      <c r="E13" s="111">
        <f>SUM(E29:E30)</f>
        <v>35730</v>
      </c>
      <c r="F13" s="112">
        <f t="shared" si="0"/>
        <v>2.9079205149734118E-2</v>
      </c>
      <c r="G13" s="111">
        <f>SUM(G29:G30)</f>
        <v>358</v>
      </c>
      <c r="H13" s="113">
        <f t="shared" si="1"/>
        <v>1.0019591379792891E-2</v>
      </c>
      <c r="I13" s="114">
        <f>SUM(I29:I30)</f>
        <v>1033</v>
      </c>
      <c r="J13" s="134">
        <f t="shared" si="2"/>
        <v>0.99422521655437923</v>
      </c>
      <c r="K13" s="111">
        <f>SUM(K29:K30)</f>
        <v>358</v>
      </c>
      <c r="L13" s="115">
        <f t="shared" si="3"/>
        <v>1</v>
      </c>
      <c r="M13" s="116">
        <f t="shared" ref="M13:U13" si="17">SUM(M29:M30)</f>
        <v>536</v>
      </c>
      <c r="N13" s="117">
        <f t="shared" si="17"/>
        <v>271</v>
      </c>
      <c r="O13" s="117">
        <f t="shared" si="17"/>
        <v>120</v>
      </c>
      <c r="P13" s="118">
        <f t="shared" si="17"/>
        <v>106</v>
      </c>
      <c r="Q13" s="116">
        <f t="shared" si="17"/>
        <v>390</v>
      </c>
      <c r="R13" s="118">
        <f t="shared" si="17"/>
        <v>643</v>
      </c>
      <c r="S13" s="119">
        <f t="shared" si="17"/>
        <v>503</v>
      </c>
      <c r="T13" s="117">
        <f t="shared" si="17"/>
        <v>393</v>
      </c>
      <c r="U13" s="120">
        <f t="shared" si="17"/>
        <v>137</v>
      </c>
      <c r="V13" s="121">
        <v>8</v>
      </c>
      <c r="W13" s="122">
        <f t="shared" ref="W13:AB13" si="18">SUM(W29:W30)</f>
        <v>21</v>
      </c>
      <c r="X13" s="123">
        <f t="shared" si="18"/>
        <v>258</v>
      </c>
      <c r="Y13" s="122">
        <f t="shared" si="18"/>
        <v>655</v>
      </c>
      <c r="Z13" s="123">
        <f t="shared" si="18"/>
        <v>74</v>
      </c>
      <c r="AA13" s="124">
        <f t="shared" si="18"/>
        <v>24</v>
      </c>
      <c r="AB13" s="122">
        <f t="shared" si="18"/>
        <v>865</v>
      </c>
      <c r="AC13" s="125">
        <f>AVERAGE(AC29:AC30)</f>
        <v>0.83474999999999999</v>
      </c>
      <c r="AD13" s="122">
        <f>SUM(AD29:AD30)</f>
        <v>124</v>
      </c>
      <c r="AE13" s="125">
        <f>AVERAGE(AE29:AE30)</f>
        <v>0.122</v>
      </c>
      <c r="AF13" s="122">
        <f>SUM(AF29:AF30)</f>
        <v>44</v>
      </c>
      <c r="AG13" s="125">
        <f>AVERAGE(AG29:AG30)</f>
        <v>4.3249999999999997E-2</v>
      </c>
      <c r="AH13" s="126">
        <f>SUM(AH29:AH30)</f>
        <v>6</v>
      </c>
      <c r="AI13" s="127">
        <v>0</v>
      </c>
      <c r="AJ13" s="128">
        <v>0</v>
      </c>
      <c r="AK13" s="129">
        <v>1</v>
      </c>
      <c r="AL13" s="129">
        <v>0</v>
      </c>
      <c r="AM13" s="130">
        <v>5</v>
      </c>
      <c r="AN13" s="131">
        <v>2</v>
      </c>
      <c r="AO13" s="132">
        <v>4</v>
      </c>
      <c r="AP13" s="128">
        <v>1</v>
      </c>
      <c r="AQ13" s="129">
        <v>4</v>
      </c>
      <c r="AR13" s="132">
        <v>1</v>
      </c>
    </row>
    <row r="14" spans="1:44" x14ac:dyDescent="0.25">
      <c r="A14" s="2"/>
      <c r="B14" s="2"/>
      <c r="C14" s="86" t="s">
        <v>44</v>
      </c>
      <c r="D14" s="87">
        <f>SUM(D31:D34)</f>
        <v>2886</v>
      </c>
      <c r="E14" s="88">
        <f>SUM(E31:E34)</f>
        <v>53577</v>
      </c>
      <c r="F14" s="89">
        <f t="shared" si="0"/>
        <v>5.3866397894618959E-2</v>
      </c>
      <c r="G14" s="88">
        <f>SUM(G31:G34)</f>
        <v>1071</v>
      </c>
      <c r="H14" s="90">
        <f t="shared" si="1"/>
        <v>1.9989921048210985E-2</v>
      </c>
      <c r="I14" s="91">
        <f>SUM(I31:I34)</f>
        <v>2883</v>
      </c>
      <c r="J14" s="89">
        <f t="shared" si="2"/>
        <v>0.99896049896049899</v>
      </c>
      <c r="K14" s="88">
        <f>SUM(K31:K34)</f>
        <v>1070</v>
      </c>
      <c r="L14" s="133">
        <f t="shared" si="3"/>
        <v>0.99906629318394025</v>
      </c>
      <c r="M14" s="93">
        <f t="shared" ref="M14:U14" si="19">SUM(M31:M34)</f>
        <v>1759</v>
      </c>
      <c r="N14" s="94">
        <f t="shared" si="19"/>
        <v>626</v>
      </c>
      <c r="O14" s="94">
        <f t="shared" si="19"/>
        <v>209</v>
      </c>
      <c r="P14" s="95">
        <f t="shared" si="19"/>
        <v>289</v>
      </c>
      <c r="Q14" s="93">
        <f t="shared" si="19"/>
        <v>1211</v>
      </c>
      <c r="R14" s="95">
        <f t="shared" si="19"/>
        <v>1672</v>
      </c>
      <c r="S14" s="96">
        <f t="shared" si="19"/>
        <v>1316</v>
      </c>
      <c r="T14" s="94">
        <f t="shared" si="19"/>
        <v>1233</v>
      </c>
      <c r="U14" s="97">
        <f t="shared" si="19"/>
        <v>334</v>
      </c>
      <c r="V14" s="98">
        <v>15</v>
      </c>
      <c r="W14" s="99">
        <f t="shared" ref="W14:AB14" si="20">SUM(W31:W34)</f>
        <v>85</v>
      </c>
      <c r="X14" s="100">
        <f t="shared" si="20"/>
        <v>922</v>
      </c>
      <c r="Y14" s="99">
        <f t="shared" si="20"/>
        <v>1553</v>
      </c>
      <c r="Z14" s="100">
        <f t="shared" si="20"/>
        <v>262</v>
      </c>
      <c r="AA14" s="101">
        <f t="shared" si="20"/>
        <v>53</v>
      </c>
      <c r="AB14" s="99">
        <f t="shared" si="20"/>
        <v>2423</v>
      </c>
      <c r="AC14" s="102">
        <f>AVERAGE(AC31:AC34)</f>
        <v>0.79512499999999997</v>
      </c>
      <c r="AD14" s="99">
        <f>SUM(AD31:AD34)</f>
        <v>260</v>
      </c>
      <c r="AE14" s="102">
        <f>AVERAGE(AE31:AE34)</f>
        <v>0.105825</v>
      </c>
      <c r="AF14" s="99">
        <f>SUM(AF31:AF34)</f>
        <v>200</v>
      </c>
      <c r="AG14" s="102">
        <f>AVERAGE(AG31:AG34)</f>
        <v>9.9074999999999996E-2</v>
      </c>
      <c r="AH14" s="103">
        <f>SUM(AH31:AH34)</f>
        <v>3</v>
      </c>
      <c r="AI14" s="104">
        <v>1</v>
      </c>
      <c r="AJ14" s="105">
        <v>0</v>
      </c>
      <c r="AK14" s="106">
        <v>2</v>
      </c>
      <c r="AL14" s="106">
        <v>1</v>
      </c>
      <c r="AM14" s="107">
        <v>0</v>
      </c>
      <c r="AN14" s="108">
        <v>0</v>
      </c>
      <c r="AO14" s="109">
        <v>3</v>
      </c>
      <c r="AP14" s="105">
        <v>1</v>
      </c>
      <c r="AQ14" s="106">
        <v>2</v>
      </c>
      <c r="AR14" s="109">
        <v>0</v>
      </c>
    </row>
    <row r="15" spans="1:44" x14ac:dyDescent="0.25">
      <c r="A15" s="2"/>
      <c r="B15" s="2"/>
      <c r="C15" s="86" t="s">
        <v>45</v>
      </c>
      <c r="D15" s="110">
        <f>SUM(D35:D36)</f>
        <v>2575</v>
      </c>
      <c r="E15" s="111">
        <f>SUM(E35:E36)</f>
        <v>89608</v>
      </c>
      <c r="F15" s="112">
        <f t="shared" si="0"/>
        <v>2.8736273547004733E-2</v>
      </c>
      <c r="G15" s="111">
        <f>SUM(G35:G36)</f>
        <v>830</v>
      </c>
      <c r="H15" s="113">
        <f t="shared" si="1"/>
        <v>9.2625658423355055E-3</v>
      </c>
      <c r="I15" s="114">
        <f>SUM(I35:I36)</f>
        <v>2575</v>
      </c>
      <c r="J15" s="112">
        <f t="shared" si="2"/>
        <v>1</v>
      </c>
      <c r="K15" s="111">
        <f>SUM(K35:K36)</f>
        <v>830</v>
      </c>
      <c r="L15" s="115">
        <f t="shared" si="3"/>
        <v>1</v>
      </c>
      <c r="M15" s="116">
        <f t="shared" ref="M15:U15" si="21">SUM(M35:M36)</f>
        <v>1487</v>
      </c>
      <c r="N15" s="117">
        <f t="shared" si="21"/>
        <v>643</v>
      </c>
      <c r="O15" s="117">
        <f t="shared" si="21"/>
        <v>251</v>
      </c>
      <c r="P15" s="118">
        <f t="shared" si="21"/>
        <v>194</v>
      </c>
      <c r="Q15" s="116">
        <f t="shared" si="21"/>
        <v>202</v>
      </c>
      <c r="R15" s="118">
        <f t="shared" si="21"/>
        <v>2373</v>
      </c>
      <c r="S15" s="119">
        <f t="shared" si="21"/>
        <v>1427</v>
      </c>
      <c r="T15" s="117">
        <f t="shared" si="21"/>
        <v>939</v>
      </c>
      <c r="U15" s="120">
        <f t="shared" si="21"/>
        <v>209</v>
      </c>
      <c r="V15" s="121">
        <v>52</v>
      </c>
      <c r="W15" s="122">
        <f t="shared" ref="W15:AB15" si="22">SUM(W35:W36)</f>
        <v>212</v>
      </c>
      <c r="X15" s="123">
        <f t="shared" si="22"/>
        <v>1103</v>
      </c>
      <c r="Y15" s="122">
        <f t="shared" si="22"/>
        <v>1128</v>
      </c>
      <c r="Z15" s="123">
        <f t="shared" si="22"/>
        <v>65</v>
      </c>
      <c r="AA15" s="124">
        <f t="shared" si="22"/>
        <v>43</v>
      </c>
      <c r="AB15" s="122">
        <f t="shared" si="22"/>
        <v>2342</v>
      </c>
      <c r="AC15" s="125">
        <f>AVERAGE(AC35:AC36)</f>
        <v>0.88359999999999994</v>
      </c>
      <c r="AD15" s="122">
        <f>SUM(AD35:AD36)</f>
        <v>199</v>
      </c>
      <c r="AE15" s="125">
        <f>AVERAGE(AE35:AE36)</f>
        <v>9.74E-2</v>
      </c>
      <c r="AF15" s="122">
        <f>SUM(AF35:AF36)</f>
        <v>34</v>
      </c>
      <c r="AG15" s="125">
        <f>AVERAGE(AG35:AG36)</f>
        <v>1.9050000000000001E-2</v>
      </c>
      <c r="AH15" s="126">
        <v>0</v>
      </c>
      <c r="AI15" s="127">
        <v>0</v>
      </c>
      <c r="AJ15" s="128">
        <v>0</v>
      </c>
      <c r="AK15" s="129">
        <v>0</v>
      </c>
      <c r="AL15" s="129">
        <v>0</v>
      </c>
      <c r="AM15" s="130">
        <v>0</v>
      </c>
      <c r="AN15" s="131">
        <v>0</v>
      </c>
      <c r="AO15" s="132">
        <v>0</v>
      </c>
      <c r="AP15" s="128">
        <v>0</v>
      </c>
      <c r="AQ15" s="129">
        <v>0</v>
      </c>
      <c r="AR15" s="132">
        <v>0</v>
      </c>
    </row>
    <row r="16" spans="1:44" x14ac:dyDescent="0.25">
      <c r="A16" s="2"/>
      <c r="B16" s="2"/>
      <c r="C16" s="86" t="s">
        <v>46</v>
      </c>
      <c r="D16" s="87">
        <f>SUM(D37:D38)</f>
        <v>1296</v>
      </c>
      <c r="E16" s="88">
        <f>SUM(E37:E38)</f>
        <v>46813</v>
      </c>
      <c r="F16" s="89">
        <f t="shared" si="0"/>
        <v>2.7684617520774144E-2</v>
      </c>
      <c r="G16" s="88">
        <f>SUM(G37:G38)</f>
        <v>472</v>
      </c>
      <c r="H16" s="90">
        <f t="shared" si="1"/>
        <v>1.0082669343985644E-2</v>
      </c>
      <c r="I16" s="91">
        <f>SUM(I37:I38)</f>
        <v>1254</v>
      </c>
      <c r="J16" s="89">
        <f t="shared" si="2"/>
        <v>0.96759259259259256</v>
      </c>
      <c r="K16" s="88">
        <f>SUM(K37:K38)</f>
        <v>470</v>
      </c>
      <c r="L16" s="135">
        <f t="shared" si="3"/>
        <v>0.99576271186440679</v>
      </c>
      <c r="M16" s="93">
        <f t="shared" ref="M16:U16" si="23">SUM(M37:M38)</f>
        <v>791</v>
      </c>
      <c r="N16" s="94">
        <f t="shared" si="23"/>
        <v>249</v>
      </c>
      <c r="O16" s="94">
        <f t="shared" si="23"/>
        <v>115</v>
      </c>
      <c r="P16" s="95">
        <f t="shared" si="23"/>
        <v>99</v>
      </c>
      <c r="Q16" s="93">
        <f t="shared" si="23"/>
        <v>661</v>
      </c>
      <c r="R16" s="95">
        <f t="shared" si="23"/>
        <v>593</v>
      </c>
      <c r="S16" s="96">
        <f t="shared" si="23"/>
        <v>601</v>
      </c>
      <c r="T16" s="94">
        <f t="shared" si="23"/>
        <v>486</v>
      </c>
      <c r="U16" s="97">
        <f t="shared" si="23"/>
        <v>167</v>
      </c>
      <c r="V16" s="98">
        <v>19</v>
      </c>
      <c r="W16" s="99">
        <f t="shared" ref="W16:AB16" si="24">SUM(W37:W38)</f>
        <v>49</v>
      </c>
      <c r="X16" s="100">
        <f t="shared" si="24"/>
        <v>591</v>
      </c>
      <c r="Y16" s="99">
        <f t="shared" si="24"/>
        <v>529</v>
      </c>
      <c r="Z16" s="100">
        <f t="shared" si="24"/>
        <v>60</v>
      </c>
      <c r="AA16" s="101">
        <f t="shared" si="24"/>
        <v>15</v>
      </c>
      <c r="AB16" s="99">
        <f t="shared" si="24"/>
        <v>1012</v>
      </c>
      <c r="AC16" s="102">
        <f>AVERAGE(AC37:AC38)</f>
        <v>0.75530000000000008</v>
      </c>
      <c r="AD16" s="99">
        <f>SUM(AD37:AD38)</f>
        <v>137</v>
      </c>
      <c r="AE16" s="102">
        <f>AVERAGE(AE37:AE38)</f>
        <v>0.10439999999999999</v>
      </c>
      <c r="AF16" s="99">
        <f>SUM(AF37:AF38)</f>
        <v>105</v>
      </c>
      <c r="AG16" s="102">
        <f>AVERAGE(AG37:AG38)</f>
        <v>0.14030000000000001</v>
      </c>
      <c r="AH16" s="103">
        <f>SUM(AH37:AH38)</f>
        <v>42</v>
      </c>
      <c r="AI16" s="104">
        <v>2</v>
      </c>
      <c r="AJ16" s="105">
        <v>0</v>
      </c>
      <c r="AK16" s="106">
        <v>40</v>
      </c>
      <c r="AL16" s="106">
        <v>2</v>
      </c>
      <c r="AM16" s="107">
        <v>0</v>
      </c>
      <c r="AN16" s="108">
        <v>3</v>
      </c>
      <c r="AO16" s="109">
        <v>39</v>
      </c>
      <c r="AP16" s="105">
        <v>7</v>
      </c>
      <c r="AQ16" s="106">
        <v>27</v>
      </c>
      <c r="AR16" s="109">
        <v>8</v>
      </c>
    </row>
    <row r="17" spans="1:206" x14ac:dyDescent="0.25">
      <c r="A17" s="2"/>
      <c r="B17" s="2"/>
      <c r="C17" s="86" t="s">
        <v>47</v>
      </c>
      <c r="D17" s="110">
        <f>SUM(D39:D40)</f>
        <v>2419</v>
      </c>
      <c r="E17" s="111">
        <f>SUM(E39:E40)</f>
        <v>77461</v>
      </c>
      <c r="F17" s="112">
        <f t="shared" si="0"/>
        <v>3.122861827242096E-2</v>
      </c>
      <c r="G17" s="111">
        <f>SUM(G39:G40)</f>
        <v>793</v>
      </c>
      <c r="H17" s="113">
        <f t="shared" si="1"/>
        <v>1.0237409793315345E-2</v>
      </c>
      <c r="I17" s="114">
        <f>SUM(I39:I40)</f>
        <v>2353</v>
      </c>
      <c r="J17" s="112">
        <f t="shared" si="2"/>
        <v>0.97271599834642419</v>
      </c>
      <c r="K17" s="111">
        <f>SUM(K39:K40)</f>
        <v>779</v>
      </c>
      <c r="L17" s="115">
        <f t="shared" si="3"/>
        <v>0.98234552332912983</v>
      </c>
      <c r="M17" s="116">
        <f t="shared" ref="M17:U17" si="25">SUM(M39:M40)</f>
        <v>1356</v>
      </c>
      <c r="N17" s="117">
        <f t="shared" si="25"/>
        <v>470</v>
      </c>
      <c r="O17" s="117">
        <f t="shared" si="25"/>
        <v>335</v>
      </c>
      <c r="P17" s="118">
        <f t="shared" si="25"/>
        <v>192</v>
      </c>
      <c r="Q17" s="116">
        <f t="shared" si="25"/>
        <v>787</v>
      </c>
      <c r="R17" s="118">
        <f t="shared" si="25"/>
        <v>1566</v>
      </c>
      <c r="S17" s="119">
        <f t="shared" si="25"/>
        <v>1350</v>
      </c>
      <c r="T17" s="117">
        <f t="shared" si="25"/>
        <v>764</v>
      </c>
      <c r="U17" s="120">
        <f t="shared" si="25"/>
        <v>239</v>
      </c>
      <c r="V17" s="121">
        <v>17</v>
      </c>
      <c r="W17" s="122">
        <f t="shared" ref="W17:AB17" si="26">SUM(W39:W40)</f>
        <v>187</v>
      </c>
      <c r="X17" s="123">
        <f t="shared" si="26"/>
        <v>908</v>
      </c>
      <c r="Y17" s="122">
        <f t="shared" si="26"/>
        <v>1025</v>
      </c>
      <c r="Z17" s="123">
        <f t="shared" si="26"/>
        <v>181</v>
      </c>
      <c r="AA17" s="124">
        <f t="shared" si="26"/>
        <v>42</v>
      </c>
      <c r="AB17" s="122">
        <f t="shared" si="26"/>
        <v>1950</v>
      </c>
      <c r="AC17" s="125">
        <f>AVERAGE(AC39:AC40)</f>
        <v>0.81479999999999997</v>
      </c>
      <c r="AD17" s="122">
        <f>SUM(AD39:AD40)</f>
        <v>292</v>
      </c>
      <c r="AE17" s="125">
        <f>AVERAGE(AE39:AE40)</f>
        <v>0.13014999999999999</v>
      </c>
      <c r="AF17" s="122">
        <f>SUM(AF39:AF40)</f>
        <v>111</v>
      </c>
      <c r="AG17" s="125">
        <f>AVERAGE(AG39:AG40)</f>
        <v>5.5050000000000002E-2</v>
      </c>
      <c r="AH17" s="126">
        <f>SUM(AH39:AH40)</f>
        <v>66</v>
      </c>
      <c r="AI17" s="127">
        <v>14</v>
      </c>
      <c r="AJ17" s="128">
        <v>1</v>
      </c>
      <c r="AK17" s="129">
        <v>29</v>
      </c>
      <c r="AL17" s="129">
        <v>36</v>
      </c>
      <c r="AM17" s="130">
        <v>0</v>
      </c>
      <c r="AN17" s="131">
        <v>2</v>
      </c>
      <c r="AO17" s="132">
        <v>64</v>
      </c>
      <c r="AP17" s="128">
        <v>26</v>
      </c>
      <c r="AQ17" s="129">
        <v>36</v>
      </c>
      <c r="AR17" s="132">
        <v>4</v>
      </c>
    </row>
    <row r="18" spans="1:206" ht="15.75" thickBot="1" x14ac:dyDescent="0.3">
      <c r="A18" s="2"/>
      <c r="B18" s="2"/>
      <c r="C18" s="136" t="s">
        <v>48</v>
      </c>
      <c r="D18" s="87">
        <f>SUM(D41)</f>
        <v>3206</v>
      </c>
      <c r="E18" s="88">
        <f>SUM(E41)</f>
        <v>86530</v>
      </c>
      <c r="F18" s="89">
        <f t="shared" si="0"/>
        <v>3.7050733849531954E-2</v>
      </c>
      <c r="G18" s="88">
        <f>SUM(G41)</f>
        <v>1187</v>
      </c>
      <c r="H18" s="90">
        <f t="shared" si="1"/>
        <v>1.371778573905004E-2</v>
      </c>
      <c r="I18" s="91">
        <f>SUM(I41)</f>
        <v>3098</v>
      </c>
      <c r="J18" s="89">
        <f t="shared" si="2"/>
        <v>0.96631316281971302</v>
      </c>
      <c r="K18" s="88">
        <f>SUM(K41)</f>
        <v>1163</v>
      </c>
      <c r="L18" s="133">
        <f t="shared" si="3"/>
        <v>0.97978096040438079</v>
      </c>
      <c r="M18" s="93">
        <f t="shared" ref="M18:U18" si="27">SUM(M41)</f>
        <v>1648</v>
      </c>
      <c r="N18" s="94">
        <f t="shared" si="27"/>
        <v>769</v>
      </c>
      <c r="O18" s="94">
        <f t="shared" si="27"/>
        <v>481</v>
      </c>
      <c r="P18" s="95">
        <f t="shared" si="27"/>
        <v>200</v>
      </c>
      <c r="Q18" s="93">
        <f t="shared" si="27"/>
        <v>510</v>
      </c>
      <c r="R18" s="95">
        <f t="shared" si="27"/>
        <v>2588</v>
      </c>
      <c r="S18" s="96">
        <f t="shared" si="27"/>
        <v>1881</v>
      </c>
      <c r="T18" s="94">
        <f t="shared" si="27"/>
        <v>1012</v>
      </c>
      <c r="U18" s="97">
        <f t="shared" si="27"/>
        <v>205</v>
      </c>
      <c r="V18" s="98">
        <v>10</v>
      </c>
      <c r="W18" s="99">
        <f t="shared" ref="W18:AB18" si="28">SUM(W41)</f>
        <v>90</v>
      </c>
      <c r="X18" s="100">
        <f t="shared" si="28"/>
        <v>1234</v>
      </c>
      <c r="Y18" s="99">
        <f t="shared" si="28"/>
        <v>1598</v>
      </c>
      <c r="Z18" s="100">
        <f t="shared" si="28"/>
        <v>149</v>
      </c>
      <c r="AA18" s="101">
        <f t="shared" si="28"/>
        <v>22</v>
      </c>
      <c r="AB18" s="137">
        <f t="shared" si="28"/>
        <v>2883</v>
      </c>
      <c r="AC18" s="138">
        <f>AVERAGE(AC41)</f>
        <v>0.93059999999999998</v>
      </c>
      <c r="AD18" s="137">
        <f>SUM(AD41)</f>
        <v>137</v>
      </c>
      <c r="AE18" s="138">
        <f>AVERAGE(AE41)</f>
        <v>4.4200000000000003E-2</v>
      </c>
      <c r="AF18" s="137">
        <f>SUM(AF41)</f>
        <v>78</v>
      </c>
      <c r="AG18" s="138">
        <f>AVERAGE(AG41)</f>
        <v>2.52E-2</v>
      </c>
      <c r="AH18" s="103">
        <f>SUM(AH41)</f>
        <v>108</v>
      </c>
      <c r="AI18" s="104">
        <v>24</v>
      </c>
      <c r="AJ18" s="105">
        <v>0</v>
      </c>
      <c r="AK18" s="106">
        <v>107</v>
      </c>
      <c r="AL18" s="106">
        <v>0</v>
      </c>
      <c r="AM18" s="107">
        <v>1</v>
      </c>
      <c r="AN18" s="91">
        <v>0</v>
      </c>
      <c r="AO18" s="109">
        <v>108</v>
      </c>
      <c r="AP18" s="105">
        <v>26</v>
      </c>
      <c r="AQ18" s="106">
        <v>82</v>
      </c>
      <c r="AR18" s="109">
        <v>0</v>
      </c>
    </row>
    <row r="19" spans="1:206" ht="15.75" thickBot="1" x14ac:dyDescent="0.3">
      <c r="A19" s="139" t="s">
        <v>49</v>
      </c>
      <c r="B19" s="140">
        <v>16015</v>
      </c>
      <c r="C19" s="141" t="s">
        <v>50</v>
      </c>
      <c r="D19" s="142">
        <f t="shared" ref="D19:D41" si="29">I19+AH19</f>
        <v>914</v>
      </c>
      <c r="E19" s="143">
        <v>27866</v>
      </c>
      <c r="F19" s="144">
        <f t="shared" si="0"/>
        <v>3.2799827747075287E-2</v>
      </c>
      <c r="G19" s="145">
        <f t="shared" ref="G19:G41" si="30">K19+AI19</f>
        <v>374</v>
      </c>
      <c r="H19" s="146">
        <f t="shared" si="1"/>
        <v>1.3421373717074572E-2</v>
      </c>
      <c r="I19" s="147">
        <v>889</v>
      </c>
      <c r="J19" s="144">
        <f t="shared" si="2"/>
        <v>0.97264770240700216</v>
      </c>
      <c r="K19" s="143">
        <v>367</v>
      </c>
      <c r="L19" s="148">
        <f t="shared" si="3"/>
        <v>0.98128342245989308</v>
      </c>
      <c r="M19" s="147">
        <v>605</v>
      </c>
      <c r="N19" s="149">
        <v>160</v>
      </c>
      <c r="O19" s="149">
        <v>49</v>
      </c>
      <c r="P19" s="150">
        <v>75</v>
      </c>
      <c r="Q19" s="147">
        <v>350</v>
      </c>
      <c r="R19" s="150">
        <v>539</v>
      </c>
      <c r="S19" s="147">
        <v>461</v>
      </c>
      <c r="T19" s="149">
        <v>337</v>
      </c>
      <c r="U19" s="150">
        <v>91</v>
      </c>
      <c r="V19" s="142">
        <v>4</v>
      </c>
      <c r="W19" s="143">
        <v>28</v>
      </c>
      <c r="X19" s="143">
        <v>248</v>
      </c>
      <c r="Y19" s="143">
        <v>496</v>
      </c>
      <c r="Z19" s="143">
        <v>73</v>
      </c>
      <c r="AA19" s="151">
        <v>40</v>
      </c>
      <c r="AB19" s="142">
        <v>797</v>
      </c>
      <c r="AC19" s="152">
        <v>0.89649999999999996</v>
      </c>
      <c r="AD19" s="143">
        <v>68</v>
      </c>
      <c r="AE19" s="152">
        <v>7.6499999999999999E-2</v>
      </c>
      <c r="AF19" s="143">
        <v>24</v>
      </c>
      <c r="AG19" s="153">
        <v>2.7E-2</v>
      </c>
      <c r="AH19" s="142">
        <v>25</v>
      </c>
      <c r="AI19" s="151">
        <v>7</v>
      </c>
      <c r="AJ19" s="142">
        <v>2</v>
      </c>
      <c r="AK19" s="143">
        <v>20</v>
      </c>
      <c r="AL19" s="143">
        <v>2</v>
      </c>
      <c r="AM19" s="151">
        <v>1</v>
      </c>
      <c r="AN19" s="142">
        <v>2</v>
      </c>
      <c r="AO19" s="151">
        <v>23</v>
      </c>
      <c r="AP19" s="154">
        <v>6</v>
      </c>
      <c r="AQ19" s="143">
        <v>14</v>
      </c>
      <c r="AR19" s="151">
        <v>5</v>
      </c>
    </row>
    <row r="20" spans="1:206" customFormat="1" ht="15.75" thickBot="1" x14ac:dyDescent="0.3">
      <c r="A20" s="139"/>
      <c r="B20" s="155">
        <v>16102</v>
      </c>
      <c r="C20" s="156" t="s">
        <v>51</v>
      </c>
      <c r="D20" s="157">
        <f t="shared" si="29"/>
        <v>536</v>
      </c>
      <c r="E20" s="158">
        <v>11993</v>
      </c>
      <c r="F20" s="159">
        <f t="shared" si="0"/>
        <v>4.4692737430167599E-2</v>
      </c>
      <c r="G20" s="160">
        <f t="shared" si="30"/>
        <v>209</v>
      </c>
      <c r="H20" s="161">
        <f t="shared" si="1"/>
        <v>1.7426832318852663E-2</v>
      </c>
      <c r="I20" s="162">
        <v>535</v>
      </c>
      <c r="J20" s="159">
        <f t="shared" si="2"/>
        <v>0.99813432835820892</v>
      </c>
      <c r="K20" s="158">
        <v>209</v>
      </c>
      <c r="L20" s="163">
        <f t="shared" si="3"/>
        <v>1</v>
      </c>
      <c r="M20" s="162">
        <v>373</v>
      </c>
      <c r="N20" s="164">
        <v>54</v>
      </c>
      <c r="O20" s="164">
        <v>34</v>
      </c>
      <c r="P20" s="165">
        <v>74</v>
      </c>
      <c r="Q20" s="162">
        <v>277</v>
      </c>
      <c r="R20" s="165">
        <v>258</v>
      </c>
      <c r="S20" s="162">
        <v>234</v>
      </c>
      <c r="T20" s="164">
        <v>223</v>
      </c>
      <c r="U20" s="165">
        <v>78</v>
      </c>
      <c r="V20" s="157">
        <v>3</v>
      </c>
      <c r="W20" s="158">
        <v>19</v>
      </c>
      <c r="X20" s="158">
        <v>162</v>
      </c>
      <c r="Y20" s="158">
        <v>302</v>
      </c>
      <c r="Z20" s="158">
        <v>49</v>
      </c>
      <c r="AA20" s="166">
        <v>0</v>
      </c>
      <c r="AB20" s="157">
        <v>499</v>
      </c>
      <c r="AC20" s="167">
        <v>0.93269999999999997</v>
      </c>
      <c r="AD20" s="158">
        <v>27</v>
      </c>
      <c r="AE20" s="167">
        <v>5.0500000000000003E-2</v>
      </c>
      <c r="AF20" s="158">
        <v>9</v>
      </c>
      <c r="AG20" s="168">
        <v>1.6799999999999999E-2</v>
      </c>
      <c r="AH20" s="157">
        <v>1</v>
      </c>
      <c r="AI20" s="166"/>
      <c r="AJ20" s="157"/>
      <c r="AK20" s="158">
        <v>1</v>
      </c>
      <c r="AL20" s="158"/>
      <c r="AM20" s="166"/>
      <c r="AN20" s="157"/>
      <c r="AO20" s="166">
        <v>1</v>
      </c>
      <c r="AP20" s="169"/>
      <c r="AQ20" s="158">
        <v>1</v>
      </c>
      <c r="AR20" s="166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</row>
    <row r="21" spans="1:206" customFormat="1" ht="15.75" thickBot="1" x14ac:dyDescent="0.3">
      <c r="A21" s="170" t="s">
        <v>52</v>
      </c>
      <c r="B21" s="171">
        <v>17299</v>
      </c>
      <c r="C21" s="172" t="s">
        <v>53</v>
      </c>
      <c r="D21" s="173">
        <f t="shared" si="29"/>
        <v>643</v>
      </c>
      <c r="E21" s="174">
        <v>16701</v>
      </c>
      <c r="F21" s="175">
        <f t="shared" si="0"/>
        <v>3.8500688581522065E-2</v>
      </c>
      <c r="G21" s="176">
        <f t="shared" si="30"/>
        <v>206</v>
      </c>
      <c r="H21" s="177">
        <f t="shared" si="1"/>
        <v>1.2334590743069277E-2</v>
      </c>
      <c r="I21" s="178">
        <v>635</v>
      </c>
      <c r="J21" s="175">
        <f t="shared" si="2"/>
        <v>0.98755832037325042</v>
      </c>
      <c r="K21" s="179">
        <v>206</v>
      </c>
      <c r="L21" s="180">
        <f t="shared" si="3"/>
        <v>1</v>
      </c>
      <c r="M21" s="178">
        <v>507</v>
      </c>
      <c r="N21" s="181">
        <v>72</v>
      </c>
      <c r="O21" s="181">
        <v>30</v>
      </c>
      <c r="P21" s="182">
        <v>26</v>
      </c>
      <c r="Q21" s="178">
        <v>183</v>
      </c>
      <c r="R21" s="182">
        <v>452</v>
      </c>
      <c r="S21" s="178">
        <v>326</v>
      </c>
      <c r="T21" s="181">
        <v>254</v>
      </c>
      <c r="U21" s="182">
        <v>55</v>
      </c>
      <c r="V21" s="173">
        <v>0</v>
      </c>
      <c r="W21" s="179">
        <v>110</v>
      </c>
      <c r="X21" s="179">
        <v>75</v>
      </c>
      <c r="Y21" s="179">
        <v>383</v>
      </c>
      <c r="Z21" s="179">
        <v>58</v>
      </c>
      <c r="AA21" s="183">
        <v>9</v>
      </c>
      <c r="AB21" s="184">
        <v>595</v>
      </c>
      <c r="AC21" s="185">
        <v>0.93700000000000006</v>
      </c>
      <c r="AD21" s="186">
        <v>29</v>
      </c>
      <c r="AE21" s="185">
        <v>4.5699999999999998E-2</v>
      </c>
      <c r="AF21" s="179">
        <v>11</v>
      </c>
      <c r="AG21" s="187">
        <v>1.7299999999999999E-2</v>
      </c>
      <c r="AH21" s="173">
        <v>8</v>
      </c>
      <c r="AI21" s="183"/>
      <c r="AJ21" s="173">
        <v>1</v>
      </c>
      <c r="AK21" s="179">
        <v>1</v>
      </c>
      <c r="AL21" s="179">
        <v>6</v>
      </c>
      <c r="AM21" s="183"/>
      <c r="AN21" s="173">
        <v>6</v>
      </c>
      <c r="AO21" s="183">
        <v>2</v>
      </c>
      <c r="AP21" s="188"/>
      <c r="AQ21" s="179">
        <v>5</v>
      </c>
      <c r="AR21" s="183">
        <v>3</v>
      </c>
      <c r="AS21" s="1"/>
      <c r="AT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206" customFormat="1" ht="15.75" thickBot="1" x14ac:dyDescent="0.3">
      <c r="A22" s="170"/>
      <c r="B22" s="189">
        <v>17415</v>
      </c>
      <c r="C22" s="190" t="s">
        <v>54</v>
      </c>
      <c r="D22" s="191">
        <f t="shared" si="29"/>
        <v>528</v>
      </c>
      <c r="E22" s="192">
        <v>16853</v>
      </c>
      <c r="F22" s="193">
        <f t="shared" si="0"/>
        <v>3.1329733578591347E-2</v>
      </c>
      <c r="G22" s="194">
        <f t="shared" si="30"/>
        <v>227</v>
      </c>
      <c r="H22" s="195">
        <f t="shared" si="1"/>
        <v>1.3469411974129234E-2</v>
      </c>
      <c r="I22" s="196">
        <v>527</v>
      </c>
      <c r="J22" s="193">
        <f t="shared" si="2"/>
        <v>0.99810606060606055</v>
      </c>
      <c r="K22" s="197">
        <v>227</v>
      </c>
      <c r="L22" s="198">
        <f t="shared" si="3"/>
        <v>1</v>
      </c>
      <c r="M22" s="196">
        <v>366</v>
      </c>
      <c r="N22" s="199">
        <v>80</v>
      </c>
      <c r="O22" s="199">
        <v>48</v>
      </c>
      <c r="P22" s="200">
        <v>33</v>
      </c>
      <c r="Q22" s="196">
        <v>264</v>
      </c>
      <c r="R22" s="200">
        <v>263</v>
      </c>
      <c r="S22" s="196">
        <v>241</v>
      </c>
      <c r="T22" s="199">
        <v>207</v>
      </c>
      <c r="U22" s="200">
        <v>79</v>
      </c>
      <c r="V22" s="191">
        <v>1</v>
      </c>
      <c r="W22" s="197">
        <v>20</v>
      </c>
      <c r="X22" s="197">
        <v>132</v>
      </c>
      <c r="Y22" s="197">
        <v>320</v>
      </c>
      <c r="Z22" s="197">
        <v>40</v>
      </c>
      <c r="AA22" s="201">
        <v>14</v>
      </c>
      <c r="AB22" s="202">
        <v>411</v>
      </c>
      <c r="AC22" s="203">
        <v>0.77990000000000004</v>
      </c>
      <c r="AD22" s="204">
        <v>75</v>
      </c>
      <c r="AE22" s="203">
        <v>0.14230000000000001</v>
      </c>
      <c r="AF22" s="197">
        <v>41</v>
      </c>
      <c r="AG22" s="205">
        <v>7.7799999999999994E-2</v>
      </c>
      <c r="AH22" s="191">
        <v>1</v>
      </c>
      <c r="AI22" s="201"/>
      <c r="AJ22" s="191"/>
      <c r="AK22" s="197"/>
      <c r="AL22" s="197"/>
      <c r="AM22" s="201">
        <v>1</v>
      </c>
      <c r="AN22" s="191"/>
      <c r="AO22" s="201">
        <v>1</v>
      </c>
      <c r="AP22" s="206"/>
      <c r="AQ22" s="197">
        <v>1</v>
      </c>
      <c r="AR22" s="20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</row>
    <row r="23" spans="1:206" customFormat="1" ht="15.75" thickBot="1" x14ac:dyDescent="0.3">
      <c r="A23" s="139" t="s">
        <v>55</v>
      </c>
      <c r="B23" s="140">
        <v>19031</v>
      </c>
      <c r="C23" s="207" t="s">
        <v>56</v>
      </c>
      <c r="D23" s="208">
        <f t="shared" si="29"/>
        <v>1081</v>
      </c>
      <c r="E23" s="209">
        <v>30206</v>
      </c>
      <c r="F23" s="210">
        <f t="shared" si="0"/>
        <v>3.5787591869165067E-2</v>
      </c>
      <c r="G23" s="211">
        <f t="shared" si="30"/>
        <v>381</v>
      </c>
      <c r="H23" s="212">
        <f t="shared" si="1"/>
        <v>1.2613388068595643E-2</v>
      </c>
      <c r="I23" s="213">
        <v>1080</v>
      </c>
      <c r="J23" s="210">
        <f t="shared" si="2"/>
        <v>0.99907493061979646</v>
      </c>
      <c r="K23" s="214">
        <v>380</v>
      </c>
      <c r="L23" s="215">
        <f t="shared" si="3"/>
        <v>0.99737532808398954</v>
      </c>
      <c r="M23" s="213">
        <v>556</v>
      </c>
      <c r="N23" s="216">
        <v>351</v>
      </c>
      <c r="O23" s="216">
        <v>102</v>
      </c>
      <c r="P23" s="217">
        <v>71</v>
      </c>
      <c r="Q23" s="213">
        <v>346</v>
      </c>
      <c r="R23" s="217">
        <v>734</v>
      </c>
      <c r="S23" s="213">
        <v>502</v>
      </c>
      <c r="T23" s="216">
        <v>448</v>
      </c>
      <c r="U23" s="217">
        <v>130</v>
      </c>
      <c r="V23" s="208">
        <v>4</v>
      </c>
      <c r="W23" s="214">
        <v>39</v>
      </c>
      <c r="X23" s="214">
        <v>571</v>
      </c>
      <c r="Y23" s="214">
        <v>393</v>
      </c>
      <c r="Z23" s="214">
        <v>61</v>
      </c>
      <c r="AA23" s="218">
        <v>12</v>
      </c>
      <c r="AB23" s="142">
        <v>920</v>
      </c>
      <c r="AC23" s="152">
        <v>0.85189999999999999</v>
      </c>
      <c r="AD23" s="143">
        <v>112</v>
      </c>
      <c r="AE23" s="152">
        <v>0.1037</v>
      </c>
      <c r="AF23" s="143">
        <v>48</v>
      </c>
      <c r="AG23" s="153">
        <v>4.4400000000000002E-2</v>
      </c>
      <c r="AH23" s="208">
        <v>1</v>
      </c>
      <c r="AI23" s="218">
        <v>1</v>
      </c>
      <c r="AJ23" s="208"/>
      <c r="AK23" s="214"/>
      <c r="AL23" s="214">
        <v>1</v>
      </c>
      <c r="AM23" s="218"/>
      <c r="AN23" s="208"/>
      <c r="AO23" s="218">
        <v>1</v>
      </c>
      <c r="AP23" s="219"/>
      <c r="AQ23" s="214">
        <v>1</v>
      </c>
      <c r="AR23" s="218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</row>
    <row r="24" spans="1:206" customFormat="1" ht="15.75" thickBot="1" x14ac:dyDescent="0.3">
      <c r="A24" s="139"/>
      <c r="B24" s="155">
        <v>19272</v>
      </c>
      <c r="C24" s="156" t="s">
        <v>57</v>
      </c>
      <c r="D24" s="208">
        <f t="shared" si="29"/>
        <v>1139</v>
      </c>
      <c r="E24" s="209">
        <v>10271</v>
      </c>
      <c r="F24" s="210">
        <f t="shared" si="0"/>
        <v>0.1108947522149742</v>
      </c>
      <c r="G24" s="211">
        <f t="shared" si="30"/>
        <v>691</v>
      </c>
      <c r="H24" s="212">
        <f t="shared" si="1"/>
        <v>6.7276798753772765E-2</v>
      </c>
      <c r="I24" s="213">
        <v>1139</v>
      </c>
      <c r="J24" s="210">
        <f t="shared" si="2"/>
        <v>1</v>
      </c>
      <c r="K24" s="214">
        <v>691</v>
      </c>
      <c r="L24" s="215">
        <f t="shared" si="3"/>
        <v>1</v>
      </c>
      <c r="M24" s="213">
        <v>739</v>
      </c>
      <c r="N24" s="216">
        <v>363</v>
      </c>
      <c r="O24" s="216">
        <v>19</v>
      </c>
      <c r="P24" s="217">
        <v>18</v>
      </c>
      <c r="Q24" s="213">
        <v>172</v>
      </c>
      <c r="R24" s="217">
        <v>967</v>
      </c>
      <c r="S24" s="213">
        <v>517</v>
      </c>
      <c r="T24" s="216">
        <v>528</v>
      </c>
      <c r="U24" s="217">
        <v>94</v>
      </c>
      <c r="V24" s="208">
        <v>0</v>
      </c>
      <c r="W24" s="214">
        <v>12</v>
      </c>
      <c r="X24" s="214">
        <v>320</v>
      </c>
      <c r="Y24" s="214">
        <v>595</v>
      </c>
      <c r="Z24" s="214">
        <v>167</v>
      </c>
      <c r="AA24" s="218">
        <v>45</v>
      </c>
      <c r="AB24" s="157">
        <v>865</v>
      </c>
      <c r="AC24" s="167">
        <v>0.75939999999999996</v>
      </c>
      <c r="AD24" s="158">
        <v>202</v>
      </c>
      <c r="AE24" s="167">
        <v>0.17730000000000001</v>
      </c>
      <c r="AF24" s="158">
        <v>72</v>
      </c>
      <c r="AG24" s="168">
        <v>6.3200000000000006E-2</v>
      </c>
      <c r="AH24" s="208"/>
      <c r="AI24" s="218"/>
      <c r="AJ24" s="208"/>
      <c r="AK24" s="214"/>
      <c r="AL24" s="214"/>
      <c r="AM24" s="218"/>
      <c r="AN24" s="208"/>
      <c r="AO24" s="218"/>
      <c r="AP24" s="219"/>
      <c r="AQ24" s="214"/>
      <c r="AR24" s="218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</row>
    <row r="25" spans="1:206" customFormat="1" ht="15.75" thickBot="1" x14ac:dyDescent="0.3">
      <c r="A25" s="220">
        <v>23</v>
      </c>
      <c r="B25" s="221">
        <v>23096</v>
      </c>
      <c r="C25" s="222" t="s">
        <v>58</v>
      </c>
      <c r="D25" s="223">
        <f t="shared" si="29"/>
        <v>491</v>
      </c>
      <c r="E25" s="224">
        <v>8779</v>
      </c>
      <c r="F25" s="225">
        <f t="shared" si="0"/>
        <v>5.5928921289440714E-2</v>
      </c>
      <c r="G25" s="226">
        <f t="shared" si="30"/>
        <v>262</v>
      </c>
      <c r="H25" s="227">
        <f t="shared" si="1"/>
        <v>2.984394577970156E-2</v>
      </c>
      <c r="I25" s="228">
        <v>487</v>
      </c>
      <c r="J25" s="225">
        <f t="shared" si="2"/>
        <v>0.99185336048879835</v>
      </c>
      <c r="K25" s="229">
        <v>261</v>
      </c>
      <c r="L25" s="230">
        <f t="shared" si="3"/>
        <v>0.99618320610687028</v>
      </c>
      <c r="M25" s="228">
        <v>304</v>
      </c>
      <c r="N25" s="231">
        <v>132</v>
      </c>
      <c r="O25" s="231">
        <v>29</v>
      </c>
      <c r="P25" s="232">
        <v>22</v>
      </c>
      <c r="Q25" s="228">
        <v>123</v>
      </c>
      <c r="R25" s="232">
        <v>364</v>
      </c>
      <c r="S25" s="228">
        <v>237</v>
      </c>
      <c r="T25" s="231">
        <v>188</v>
      </c>
      <c r="U25" s="232">
        <v>62</v>
      </c>
      <c r="V25" s="223">
        <v>1</v>
      </c>
      <c r="W25" s="229">
        <v>14</v>
      </c>
      <c r="X25" s="229">
        <v>243</v>
      </c>
      <c r="Y25" s="229">
        <v>155</v>
      </c>
      <c r="Z25" s="229">
        <v>47</v>
      </c>
      <c r="AA25" s="233">
        <v>27</v>
      </c>
      <c r="AB25" s="234">
        <v>421</v>
      </c>
      <c r="AC25" s="235">
        <v>0.86450000000000005</v>
      </c>
      <c r="AD25" s="229">
        <v>41</v>
      </c>
      <c r="AE25" s="235">
        <v>8.4199999999999997E-2</v>
      </c>
      <c r="AF25" s="229">
        <v>25</v>
      </c>
      <c r="AG25" s="236">
        <v>5.1299999999999998E-2</v>
      </c>
      <c r="AH25" s="223">
        <v>4</v>
      </c>
      <c r="AI25" s="233">
        <v>1</v>
      </c>
      <c r="AJ25" s="223"/>
      <c r="AK25" s="229">
        <v>4</v>
      </c>
      <c r="AL25" s="229"/>
      <c r="AM25" s="233"/>
      <c r="AN25" s="223"/>
      <c r="AO25" s="233">
        <v>4</v>
      </c>
      <c r="AP25" s="237"/>
      <c r="AQ25" s="229">
        <v>3</v>
      </c>
      <c r="AR25" s="233">
        <v>1</v>
      </c>
      <c r="AS25" s="1"/>
      <c r="AT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206" customFormat="1" ht="15.75" thickBot="1" x14ac:dyDescent="0.3">
      <c r="A26" s="139" t="s">
        <v>59</v>
      </c>
      <c r="B26" s="140">
        <v>24037</v>
      </c>
      <c r="C26" s="207" t="s">
        <v>60</v>
      </c>
      <c r="D26" s="208">
        <f t="shared" si="29"/>
        <v>762</v>
      </c>
      <c r="E26" s="209">
        <v>18306</v>
      </c>
      <c r="F26" s="210">
        <f t="shared" si="0"/>
        <v>4.1625696492953133E-2</v>
      </c>
      <c r="G26" s="238">
        <f t="shared" si="30"/>
        <v>361</v>
      </c>
      <c r="H26" s="212">
        <f t="shared" si="1"/>
        <v>1.9720310280782256E-2</v>
      </c>
      <c r="I26" s="213">
        <v>757</v>
      </c>
      <c r="J26" s="210">
        <f t="shared" si="2"/>
        <v>0.9934383202099738</v>
      </c>
      <c r="K26" s="214">
        <v>360</v>
      </c>
      <c r="L26" s="215">
        <f t="shared" si="3"/>
        <v>0.99722991689750695</v>
      </c>
      <c r="M26" s="213">
        <v>483</v>
      </c>
      <c r="N26" s="216">
        <v>177</v>
      </c>
      <c r="O26" s="216">
        <v>35</v>
      </c>
      <c r="P26" s="217">
        <v>62</v>
      </c>
      <c r="Q26" s="213">
        <v>398</v>
      </c>
      <c r="R26" s="217">
        <v>359</v>
      </c>
      <c r="S26" s="213">
        <v>335</v>
      </c>
      <c r="T26" s="216">
        <v>335</v>
      </c>
      <c r="U26" s="217">
        <v>87</v>
      </c>
      <c r="V26" s="208">
        <v>2</v>
      </c>
      <c r="W26" s="214">
        <v>22</v>
      </c>
      <c r="X26" s="214">
        <v>263</v>
      </c>
      <c r="Y26" s="214">
        <v>397</v>
      </c>
      <c r="Z26" s="214">
        <v>60</v>
      </c>
      <c r="AA26" s="218">
        <v>13</v>
      </c>
      <c r="AB26" s="239">
        <v>553</v>
      </c>
      <c r="AC26" s="152">
        <v>0.73050000000000004</v>
      </c>
      <c r="AD26" s="143">
        <v>126</v>
      </c>
      <c r="AE26" s="152">
        <v>0.16639999999999999</v>
      </c>
      <c r="AF26" s="143">
        <v>78</v>
      </c>
      <c r="AG26" s="153">
        <v>0.10299999999999999</v>
      </c>
      <c r="AH26" s="208">
        <v>5</v>
      </c>
      <c r="AI26" s="218">
        <v>1</v>
      </c>
      <c r="AJ26" s="208">
        <v>1</v>
      </c>
      <c r="AK26" s="214">
        <v>2</v>
      </c>
      <c r="AL26" s="214">
        <v>1</v>
      </c>
      <c r="AM26" s="218">
        <v>1</v>
      </c>
      <c r="AN26" s="208">
        <v>1</v>
      </c>
      <c r="AO26" s="218">
        <v>4</v>
      </c>
      <c r="AP26" s="219">
        <v>1</v>
      </c>
      <c r="AQ26" s="214">
        <v>4</v>
      </c>
      <c r="AR26" s="218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</row>
    <row r="27" spans="1:206" customFormat="1" ht="15.75" thickBot="1" x14ac:dyDescent="0.3">
      <c r="A27" s="139"/>
      <c r="B27" s="155">
        <v>24322</v>
      </c>
      <c r="C27" s="156" t="s">
        <v>61</v>
      </c>
      <c r="D27" s="208">
        <f t="shared" si="29"/>
        <v>1084</v>
      </c>
      <c r="E27" s="209">
        <v>22482</v>
      </c>
      <c r="F27" s="210">
        <f t="shared" si="0"/>
        <v>4.8216350858464548E-2</v>
      </c>
      <c r="G27" s="238">
        <f t="shared" si="30"/>
        <v>429</v>
      </c>
      <c r="H27" s="212">
        <f t="shared" si="1"/>
        <v>1.9081932212436616E-2</v>
      </c>
      <c r="I27" s="213">
        <v>1081</v>
      </c>
      <c r="J27" s="210">
        <f t="shared" si="2"/>
        <v>0.99723247232472323</v>
      </c>
      <c r="K27" s="214">
        <v>429</v>
      </c>
      <c r="L27" s="215">
        <f t="shared" si="3"/>
        <v>1</v>
      </c>
      <c r="M27" s="213">
        <v>760</v>
      </c>
      <c r="N27" s="216">
        <v>201</v>
      </c>
      <c r="O27" s="216">
        <v>58</v>
      </c>
      <c r="P27" s="217">
        <v>62</v>
      </c>
      <c r="Q27" s="213">
        <v>205</v>
      </c>
      <c r="R27" s="217">
        <v>876</v>
      </c>
      <c r="S27" s="213">
        <v>629</v>
      </c>
      <c r="T27" s="216">
        <v>356</v>
      </c>
      <c r="U27" s="217">
        <v>96</v>
      </c>
      <c r="V27" s="208">
        <v>4</v>
      </c>
      <c r="W27" s="214">
        <v>15</v>
      </c>
      <c r="X27" s="214">
        <v>467</v>
      </c>
      <c r="Y27" s="214">
        <v>513</v>
      </c>
      <c r="Z27" s="214">
        <v>50</v>
      </c>
      <c r="AA27" s="218">
        <v>32</v>
      </c>
      <c r="AB27" s="240">
        <v>956</v>
      </c>
      <c r="AC27" s="167">
        <v>0.88439999999999996</v>
      </c>
      <c r="AD27" s="158">
        <v>123</v>
      </c>
      <c r="AE27" s="167">
        <v>0.1138</v>
      </c>
      <c r="AF27" s="158">
        <v>2</v>
      </c>
      <c r="AG27" s="168">
        <v>1.9E-3</v>
      </c>
      <c r="AH27" s="208">
        <v>3</v>
      </c>
      <c r="AI27" s="218"/>
      <c r="AJ27" s="208">
        <v>1</v>
      </c>
      <c r="AK27" s="214">
        <v>2</v>
      </c>
      <c r="AL27" s="214"/>
      <c r="AM27" s="218"/>
      <c r="AN27" s="208"/>
      <c r="AO27" s="218">
        <v>3</v>
      </c>
      <c r="AP27" s="219"/>
      <c r="AQ27" s="214">
        <v>3</v>
      </c>
      <c r="AR27" s="218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</row>
    <row r="28" spans="1:206" customFormat="1" ht="15.75" thickBot="1" x14ac:dyDescent="0.3">
      <c r="A28" s="220">
        <v>33</v>
      </c>
      <c r="B28" s="221">
        <v>33243</v>
      </c>
      <c r="C28" s="222" t="s">
        <v>62</v>
      </c>
      <c r="D28" s="173">
        <f t="shared" si="29"/>
        <v>609</v>
      </c>
      <c r="E28" s="174">
        <v>15059</v>
      </c>
      <c r="F28" s="175">
        <f t="shared" si="0"/>
        <v>4.0440932332824225E-2</v>
      </c>
      <c r="G28" s="176">
        <f t="shared" si="30"/>
        <v>177</v>
      </c>
      <c r="H28" s="177">
        <f t="shared" si="1"/>
        <v>1.1753768510525267E-2</v>
      </c>
      <c r="I28" s="178">
        <v>609</v>
      </c>
      <c r="J28" s="175">
        <f t="shared" si="2"/>
        <v>1</v>
      </c>
      <c r="K28" s="179">
        <v>177</v>
      </c>
      <c r="L28" s="180">
        <f t="shared" si="3"/>
        <v>1</v>
      </c>
      <c r="M28" s="178">
        <v>405</v>
      </c>
      <c r="N28" s="181">
        <v>104</v>
      </c>
      <c r="O28" s="181">
        <v>37</v>
      </c>
      <c r="P28" s="182">
        <v>63</v>
      </c>
      <c r="Q28" s="178">
        <v>277</v>
      </c>
      <c r="R28" s="182">
        <v>332</v>
      </c>
      <c r="S28" s="178">
        <v>294</v>
      </c>
      <c r="T28" s="181">
        <v>242</v>
      </c>
      <c r="U28" s="182">
        <v>73</v>
      </c>
      <c r="V28" s="173">
        <v>0</v>
      </c>
      <c r="W28" s="179">
        <v>12</v>
      </c>
      <c r="X28" s="179">
        <v>188</v>
      </c>
      <c r="Y28" s="179">
        <v>368</v>
      </c>
      <c r="Z28" s="179">
        <v>39</v>
      </c>
      <c r="AA28" s="183">
        <v>2</v>
      </c>
      <c r="AB28" s="234">
        <v>488</v>
      </c>
      <c r="AC28" s="235">
        <v>0.80130000000000001</v>
      </c>
      <c r="AD28" s="229">
        <v>72</v>
      </c>
      <c r="AE28" s="235">
        <v>0.1182</v>
      </c>
      <c r="AF28" s="229">
        <v>49</v>
      </c>
      <c r="AG28" s="236">
        <v>8.0500000000000002E-2</v>
      </c>
      <c r="AH28" s="173"/>
      <c r="AI28" s="183"/>
      <c r="AJ28" s="173"/>
      <c r="AK28" s="179"/>
      <c r="AL28" s="179"/>
      <c r="AM28" s="183"/>
      <c r="AN28" s="173"/>
      <c r="AO28" s="183"/>
      <c r="AP28" s="188"/>
      <c r="AQ28" s="179"/>
      <c r="AR28" s="183"/>
      <c r="AS28" s="1"/>
      <c r="AT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206" customFormat="1" ht="15.75" thickBot="1" x14ac:dyDescent="0.3">
      <c r="A29" s="139">
        <v>40</v>
      </c>
      <c r="B29" s="140">
        <v>40088</v>
      </c>
      <c r="C29" s="207" t="s">
        <v>63</v>
      </c>
      <c r="D29" s="142">
        <f t="shared" si="29"/>
        <v>570</v>
      </c>
      <c r="E29" s="241">
        <v>17198</v>
      </c>
      <c r="F29" s="144">
        <f t="shared" si="0"/>
        <v>3.3143388766135595E-2</v>
      </c>
      <c r="G29" s="145">
        <f t="shared" si="30"/>
        <v>177</v>
      </c>
      <c r="H29" s="146">
        <f t="shared" si="1"/>
        <v>1.0291894406326317E-2</v>
      </c>
      <c r="I29" s="147">
        <v>568</v>
      </c>
      <c r="J29" s="144">
        <f t="shared" si="2"/>
        <v>0.99649122807017543</v>
      </c>
      <c r="K29" s="143">
        <v>177</v>
      </c>
      <c r="L29" s="148">
        <f t="shared" si="3"/>
        <v>1</v>
      </c>
      <c r="M29" s="147">
        <v>300</v>
      </c>
      <c r="N29" s="149">
        <v>140</v>
      </c>
      <c r="O29" s="149">
        <v>62</v>
      </c>
      <c r="P29" s="150">
        <v>66</v>
      </c>
      <c r="Q29" s="147">
        <v>151</v>
      </c>
      <c r="R29" s="150">
        <v>417</v>
      </c>
      <c r="S29" s="147">
        <v>304</v>
      </c>
      <c r="T29" s="149">
        <v>215</v>
      </c>
      <c r="U29" s="150">
        <v>49</v>
      </c>
      <c r="V29" s="142">
        <v>0</v>
      </c>
      <c r="W29" s="143">
        <v>13</v>
      </c>
      <c r="X29" s="143">
        <v>170</v>
      </c>
      <c r="Y29" s="143">
        <v>344</v>
      </c>
      <c r="Z29" s="143">
        <v>30</v>
      </c>
      <c r="AA29" s="151">
        <v>11</v>
      </c>
      <c r="AB29" s="242">
        <v>489</v>
      </c>
      <c r="AC29" s="243">
        <v>0.8609</v>
      </c>
      <c r="AD29" s="244">
        <v>58</v>
      </c>
      <c r="AE29" s="243">
        <v>0.1021</v>
      </c>
      <c r="AF29" s="244">
        <v>21</v>
      </c>
      <c r="AG29" s="245">
        <v>3.6999999999999998E-2</v>
      </c>
      <c r="AH29" s="142">
        <v>2</v>
      </c>
      <c r="AI29" s="151"/>
      <c r="AJ29" s="142"/>
      <c r="AK29" s="143">
        <v>1</v>
      </c>
      <c r="AL29" s="143"/>
      <c r="AM29" s="151">
        <v>1</v>
      </c>
      <c r="AN29" s="142">
        <v>2</v>
      </c>
      <c r="AO29" s="151"/>
      <c r="AP29" s="154">
        <v>1</v>
      </c>
      <c r="AQ29" s="143">
        <v>1</v>
      </c>
      <c r="AR29" s="15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</row>
    <row r="30" spans="1:206" customFormat="1" ht="15.75" thickBot="1" x14ac:dyDescent="0.3">
      <c r="A30" s="139"/>
      <c r="B30" s="155">
        <v>40192</v>
      </c>
      <c r="C30" s="156" t="s">
        <v>64</v>
      </c>
      <c r="D30" s="242">
        <f t="shared" si="29"/>
        <v>469</v>
      </c>
      <c r="E30" s="209">
        <v>18532</v>
      </c>
      <c r="F30" s="210">
        <f t="shared" si="0"/>
        <v>2.5307576084610404E-2</v>
      </c>
      <c r="G30" s="238">
        <f t="shared" si="30"/>
        <v>181</v>
      </c>
      <c r="H30" s="212">
        <f t="shared" si="1"/>
        <v>9.7668897042952722E-3</v>
      </c>
      <c r="I30" s="213">
        <v>465</v>
      </c>
      <c r="J30" s="210">
        <f t="shared" si="2"/>
        <v>0.99147121535181237</v>
      </c>
      <c r="K30" s="214">
        <v>181</v>
      </c>
      <c r="L30" s="215">
        <f t="shared" si="3"/>
        <v>1</v>
      </c>
      <c r="M30" s="213">
        <v>236</v>
      </c>
      <c r="N30" s="216">
        <v>131</v>
      </c>
      <c r="O30" s="216">
        <v>58</v>
      </c>
      <c r="P30" s="217">
        <v>40</v>
      </c>
      <c r="Q30" s="213">
        <v>239</v>
      </c>
      <c r="R30" s="217">
        <v>226</v>
      </c>
      <c r="S30" s="213">
        <v>199</v>
      </c>
      <c r="T30" s="216">
        <v>178</v>
      </c>
      <c r="U30" s="217">
        <v>88</v>
      </c>
      <c r="V30" s="208">
        <v>1</v>
      </c>
      <c r="W30" s="214">
        <v>8</v>
      </c>
      <c r="X30" s="214">
        <v>88</v>
      </c>
      <c r="Y30" s="214">
        <v>311</v>
      </c>
      <c r="Z30" s="214">
        <v>44</v>
      </c>
      <c r="AA30" s="218">
        <v>13</v>
      </c>
      <c r="AB30" s="208">
        <v>376</v>
      </c>
      <c r="AC30" s="246">
        <v>0.80859999999999999</v>
      </c>
      <c r="AD30" s="214">
        <v>66</v>
      </c>
      <c r="AE30" s="246">
        <v>0.1419</v>
      </c>
      <c r="AF30" s="214">
        <v>23</v>
      </c>
      <c r="AG30" s="247">
        <v>4.9500000000000002E-2</v>
      </c>
      <c r="AH30" s="208">
        <v>4</v>
      </c>
      <c r="AI30" s="218"/>
      <c r="AJ30" s="208"/>
      <c r="AK30" s="214"/>
      <c r="AL30" s="214"/>
      <c r="AM30" s="218">
        <v>4</v>
      </c>
      <c r="AN30" s="208"/>
      <c r="AO30" s="218">
        <v>4</v>
      </c>
      <c r="AP30" s="219"/>
      <c r="AQ30" s="214">
        <v>3</v>
      </c>
      <c r="AR30" s="218">
        <v>1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</row>
    <row r="31" spans="1:206" customFormat="1" ht="15.75" thickBot="1" x14ac:dyDescent="0.3">
      <c r="A31" s="170">
        <v>47</v>
      </c>
      <c r="B31" s="171">
        <v>47001</v>
      </c>
      <c r="C31" s="248" t="s">
        <v>65</v>
      </c>
      <c r="D31" s="173">
        <f t="shared" si="29"/>
        <v>1323</v>
      </c>
      <c r="E31" s="179">
        <v>22944</v>
      </c>
      <c r="F31" s="175">
        <f t="shared" si="0"/>
        <v>5.7662133891213392E-2</v>
      </c>
      <c r="G31" s="176">
        <f t="shared" si="30"/>
        <v>438</v>
      </c>
      <c r="H31" s="177">
        <f t="shared" si="1"/>
        <v>1.9089958158995817E-2</v>
      </c>
      <c r="I31" s="178">
        <v>1320</v>
      </c>
      <c r="J31" s="175">
        <f t="shared" si="2"/>
        <v>0.99773242630385484</v>
      </c>
      <c r="K31" s="179">
        <v>437</v>
      </c>
      <c r="L31" s="180">
        <f t="shared" si="3"/>
        <v>0.99771689497716898</v>
      </c>
      <c r="M31" s="173">
        <v>840</v>
      </c>
      <c r="N31" s="179">
        <v>241</v>
      </c>
      <c r="O31" s="179">
        <v>92</v>
      </c>
      <c r="P31" s="183">
        <v>147</v>
      </c>
      <c r="Q31" s="173">
        <v>305</v>
      </c>
      <c r="R31" s="183">
        <v>1015</v>
      </c>
      <c r="S31" s="173">
        <v>714</v>
      </c>
      <c r="T31" s="179">
        <v>507</v>
      </c>
      <c r="U31" s="183">
        <v>99</v>
      </c>
      <c r="V31" s="173">
        <v>5</v>
      </c>
      <c r="W31" s="179">
        <v>55</v>
      </c>
      <c r="X31" s="179">
        <v>461</v>
      </c>
      <c r="Y31" s="179">
        <v>673</v>
      </c>
      <c r="Z31" s="179">
        <v>112</v>
      </c>
      <c r="AA31" s="183">
        <v>14</v>
      </c>
      <c r="AB31" s="173">
        <v>1246</v>
      </c>
      <c r="AC31" s="249">
        <v>0.94389999999999996</v>
      </c>
      <c r="AD31" s="179">
        <v>62</v>
      </c>
      <c r="AE31" s="249">
        <v>4.7E-2</v>
      </c>
      <c r="AF31" s="179">
        <v>12</v>
      </c>
      <c r="AG31" s="187">
        <v>9.1000000000000004E-3</v>
      </c>
      <c r="AH31" s="173">
        <v>3</v>
      </c>
      <c r="AI31" s="183">
        <v>1</v>
      </c>
      <c r="AJ31" s="173"/>
      <c r="AK31" s="179">
        <v>2</v>
      </c>
      <c r="AL31" s="179">
        <v>1</v>
      </c>
      <c r="AM31" s="183"/>
      <c r="AN31" s="173"/>
      <c r="AO31" s="183">
        <v>3</v>
      </c>
      <c r="AP31" s="188">
        <v>1</v>
      </c>
      <c r="AQ31" s="179">
        <v>2</v>
      </c>
      <c r="AR31" s="183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</row>
    <row r="32" spans="1:206" customFormat="1" ht="15.75" thickBot="1" x14ac:dyDescent="0.3">
      <c r="A32" s="170"/>
      <c r="B32" s="250">
        <v>47157</v>
      </c>
      <c r="C32" s="251" t="s">
        <v>66</v>
      </c>
      <c r="D32" s="252">
        <f t="shared" si="29"/>
        <v>534</v>
      </c>
      <c r="E32" s="253">
        <v>10853</v>
      </c>
      <c r="F32" s="254">
        <f t="shared" si="0"/>
        <v>4.9202985349672899E-2</v>
      </c>
      <c r="G32" s="255">
        <f t="shared" si="30"/>
        <v>208</v>
      </c>
      <c r="H32" s="256">
        <f t="shared" si="1"/>
        <v>1.9165207776651618E-2</v>
      </c>
      <c r="I32" s="257">
        <v>534</v>
      </c>
      <c r="J32" s="254">
        <f t="shared" si="2"/>
        <v>1</v>
      </c>
      <c r="K32" s="258">
        <v>208</v>
      </c>
      <c r="L32" s="259">
        <f t="shared" si="3"/>
        <v>1</v>
      </c>
      <c r="M32" s="252">
        <v>295</v>
      </c>
      <c r="N32" s="258">
        <v>143</v>
      </c>
      <c r="O32" s="258">
        <v>45</v>
      </c>
      <c r="P32" s="260">
        <v>51</v>
      </c>
      <c r="Q32" s="252">
        <v>281</v>
      </c>
      <c r="R32" s="260">
        <v>253</v>
      </c>
      <c r="S32" s="252">
        <v>217</v>
      </c>
      <c r="T32" s="258">
        <v>243</v>
      </c>
      <c r="U32" s="260">
        <v>74</v>
      </c>
      <c r="V32" s="252">
        <v>1</v>
      </c>
      <c r="W32" s="258">
        <v>5</v>
      </c>
      <c r="X32" s="258">
        <v>155</v>
      </c>
      <c r="Y32" s="258">
        <v>316</v>
      </c>
      <c r="Z32" s="258">
        <v>45</v>
      </c>
      <c r="AA32" s="260">
        <v>12</v>
      </c>
      <c r="AB32" s="252">
        <v>383</v>
      </c>
      <c r="AC32" s="261">
        <v>0.71719999999999995</v>
      </c>
      <c r="AD32" s="258">
        <v>107</v>
      </c>
      <c r="AE32" s="261">
        <v>0.20039999999999999</v>
      </c>
      <c r="AF32" s="258">
        <v>44</v>
      </c>
      <c r="AG32" s="262">
        <v>8.2400000000000001E-2</v>
      </c>
      <c r="AH32" s="252"/>
      <c r="AI32" s="260"/>
      <c r="AJ32" s="252"/>
      <c r="AK32" s="258"/>
      <c r="AL32" s="258"/>
      <c r="AM32" s="260"/>
      <c r="AN32" s="252"/>
      <c r="AO32" s="260"/>
      <c r="AP32" s="263"/>
      <c r="AQ32" s="258"/>
      <c r="AR32" s="260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</row>
    <row r="33" spans="1:206" customFormat="1" ht="15.75" thickBot="1" x14ac:dyDescent="0.3">
      <c r="A33" s="170"/>
      <c r="B33" s="250">
        <v>47310</v>
      </c>
      <c r="C33" s="251" t="s">
        <v>67</v>
      </c>
      <c r="D33" s="252">
        <f t="shared" si="29"/>
        <v>288</v>
      </c>
      <c r="E33" s="253">
        <v>5378</v>
      </c>
      <c r="F33" s="254">
        <f t="shared" si="0"/>
        <v>5.355150613611008E-2</v>
      </c>
      <c r="G33" s="255">
        <f t="shared" si="30"/>
        <v>113</v>
      </c>
      <c r="H33" s="256">
        <f t="shared" si="1"/>
        <v>2.1011528449237635E-2</v>
      </c>
      <c r="I33" s="257">
        <v>288</v>
      </c>
      <c r="J33" s="254">
        <f t="shared" si="2"/>
        <v>1</v>
      </c>
      <c r="K33" s="258">
        <v>113</v>
      </c>
      <c r="L33" s="259">
        <f t="shared" si="3"/>
        <v>1</v>
      </c>
      <c r="M33" s="252">
        <v>179</v>
      </c>
      <c r="N33" s="258">
        <v>62</v>
      </c>
      <c r="O33" s="258">
        <v>18</v>
      </c>
      <c r="P33" s="260">
        <v>29</v>
      </c>
      <c r="Q33" s="252">
        <v>196</v>
      </c>
      <c r="R33" s="260">
        <v>92</v>
      </c>
      <c r="S33" s="252">
        <v>74</v>
      </c>
      <c r="T33" s="258">
        <v>146</v>
      </c>
      <c r="U33" s="260">
        <v>68</v>
      </c>
      <c r="V33" s="252">
        <v>1</v>
      </c>
      <c r="W33" s="258">
        <v>1</v>
      </c>
      <c r="X33" s="258">
        <v>53</v>
      </c>
      <c r="Y33" s="258">
        <v>188</v>
      </c>
      <c r="Z33" s="258">
        <v>38</v>
      </c>
      <c r="AA33" s="260">
        <v>7</v>
      </c>
      <c r="AB33" s="252">
        <v>211</v>
      </c>
      <c r="AC33" s="261">
        <v>0.73260000000000003</v>
      </c>
      <c r="AD33" s="258">
        <v>25</v>
      </c>
      <c r="AE33" s="261">
        <v>8.6800000000000002E-2</v>
      </c>
      <c r="AF33" s="258">
        <v>52</v>
      </c>
      <c r="AG33" s="262">
        <v>0.18060000000000001</v>
      </c>
      <c r="AH33" s="252"/>
      <c r="AI33" s="260"/>
      <c r="AJ33" s="252"/>
      <c r="AK33" s="258"/>
      <c r="AL33" s="258"/>
      <c r="AM33" s="260"/>
      <c r="AN33" s="252"/>
      <c r="AO33" s="260"/>
      <c r="AP33" s="263"/>
      <c r="AQ33" s="258"/>
      <c r="AR33" s="260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</row>
    <row r="34" spans="1:206" customFormat="1" ht="15.75" thickBot="1" x14ac:dyDescent="0.3">
      <c r="A34" s="170"/>
      <c r="B34" s="189">
        <v>47323</v>
      </c>
      <c r="C34" s="190" t="s">
        <v>68</v>
      </c>
      <c r="D34" s="252">
        <f t="shared" si="29"/>
        <v>741</v>
      </c>
      <c r="E34" s="253">
        <v>14402</v>
      </c>
      <c r="F34" s="254">
        <f t="shared" si="0"/>
        <v>5.1451187335092345E-2</v>
      </c>
      <c r="G34" s="255">
        <f t="shared" si="30"/>
        <v>312</v>
      </c>
      <c r="H34" s="256">
        <f t="shared" si="1"/>
        <v>2.1663657825302041E-2</v>
      </c>
      <c r="I34" s="257">
        <v>741</v>
      </c>
      <c r="J34" s="254">
        <f t="shared" si="2"/>
        <v>1</v>
      </c>
      <c r="K34" s="258">
        <v>312</v>
      </c>
      <c r="L34" s="259">
        <f t="shared" si="3"/>
        <v>1</v>
      </c>
      <c r="M34" s="252">
        <v>445</v>
      </c>
      <c r="N34" s="258">
        <v>180</v>
      </c>
      <c r="O34" s="258">
        <v>54</v>
      </c>
      <c r="P34" s="260">
        <v>62</v>
      </c>
      <c r="Q34" s="252">
        <v>429</v>
      </c>
      <c r="R34" s="260">
        <v>312</v>
      </c>
      <c r="S34" s="252">
        <v>311</v>
      </c>
      <c r="T34" s="258">
        <v>337</v>
      </c>
      <c r="U34" s="260">
        <v>93</v>
      </c>
      <c r="V34" s="252">
        <v>1</v>
      </c>
      <c r="W34" s="258">
        <v>24</v>
      </c>
      <c r="X34" s="258">
        <v>253</v>
      </c>
      <c r="Y34" s="258">
        <v>376</v>
      </c>
      <c r="Z34" s="258">
        <v>67</v>
      </c>
      <c r="AA34" s="260">
        <v>20</v>
      </c>
      <c r="AB34" s="191">
        <v>583</v>
      </c>
      <c r="AC34" s="264">
        <v>0.78680000000000005</v>
      </c>
      <c r="AD34" s="197">
        <v>66</v>
      </c>
      <c r="AE34" s="264">
        <v>8.9099999999999999E-2</v>
      </c>
      <c r="AF34" s="197">
        <v>92</v>
      </c>
      <c r="AG34" s="205">
        <v>0.1242</v>
      </c>
      <c r="AH34" s="252"/>
      <c r="AI34" s="260"/>
      <c r="AJ34" s="252"/>
      <c r="AK34" s="258"/>
      <c r="AL34" s="258"/>
      <c r="AM34" s="260"/>
      <c r="AN34" s="252"/>
      <c r="AO34" s="260"/>
      <c r="AP34" s="263"/>
      <c r="AQ34" s="258"/>
      <c r="AR34" s="260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</row>
    <row r="35" spans="1:206" ht="15.75" thickBot="1" x14ac:dyDescent="0.3">
      <c r="A35" s="139">
        <v>64</v>
      </c>
      <c r="B35" s="140">
        <v>64102</v>
      </c>
      <c r="C35" s="207" t="s">
        <v>69</v>
      </c>
      <c r="D35" s="142">
        <f t="shared" si="29"/>
        <v>807</v>
      </c>
      <c r="E35" s="149">
        <v>34205</v>
      </c>
      <c r="F35" s="144">
        <f t="shared" si="0"/>
        <v>2.3593041952930858E-2</v>
      </c>
      <c r="G35" s="145">
        <f t="shared" si="30"/>
        <v>262</v>
      </c>
      <c r="H35" s="146">
        <f t="shared" si="1"/>
        <v>7.6596988744335624E-3</v>
      </c>
      <c r="I35" s="142">
        <v>807</v>
      </c>
      <c r="J35" s="144">
        <f t="shared" si="2"/>
        <v>1</v>
      </c>
      <c r="K35" s="143">
        <v>262</v>
      </c>
      <c r="L35" s="148">
        <f t="shared" si="3"/>
        <v>1</v>
      </c>
      <c r="M35" s="142">
        <v>560</v>
      </c>
      <c r="N35" s="143">
        <v>132</v>
      </c>
      <c r="O35" s="143">
        <v>33</v>
      </c>
      <c r="P35" s="151">
        <v>82</v>
      </c>
      <c r="Q35" s="142">
        <v>68</v>
      </c>
      <c r="R35" s="151">
        <v>739</v>
      </c>
      <c r="S35" s="142">
        <v>436</v>
      </c>
      <c r="T35" s="143">
        <v>315</v>
      </c>
      <c r="U35" s="151">
        <v>56</v>
      </c>
      <c r="V35" s="142">
        <v>0</v>
      </c>
      <c r="W35" s="143">
        <v>50</v>
      </c>
      <c r="X35" s="143">
        <v>278</v>
      </c>
      <c r="Y35" s="143">
        <v>401</v>
      </c>
      <c r="Z35" s="143">
        <v>46</v>
      </c>
      <c r="AA35" s="151">
        <v>32</v>
      </c>
      <c r="AB35" s="142">
        <v>657</v>
      </c>
      <c r="AC35" s="152">
        <v>0.81410000000000005</v>
      </c>
      <c r="AD35" s="143">
        <v>122</v>
      </c>
      <c r="AE35" s="265">
        <v>0.1512</v>
      </c>
      <c r="AF35" s="143">
        <v>28</v>
      </c>
      <c r="AG35" s="153">
        <v>3.4700000000000002E-2</v>
      </c>
      <c r="AH35" s="142"/>
      <c r="AI35" s="151"/>
      <c r="AJ35" s="142"/>
      <c r="AK35" s="143"/>
      <c r="AL35" s="143"/>
      <c r="AM35" s="151"/>
      <c r="AN35" s="142"/>
      <c r="AO35" s="151"/>
      <c r="AP35" s="154"/>
      <c r="AQ35" s="143"/>
      <c r="AR35" s="151"/>
    </row>
    <row r="36" spans="1:206" ht="15.75" thickBot="1" x14ac:dyDescent="0.3">
      <c r="A36" s="139"/>
      <c r="B36" s="155">
        <v>64445</v>
      </c>
      <c r="C36" s="156" t="s">
        <v>70</v>
      </c>
      <c r="D36" s="242">
        <f t="shared" si="29"/>
        <v>1768</v>
      </c>
      <c r="E36" s="216">
        <v>55403</v>
      </c>
      <c r="F36" s="210">
        <f t="shared" si="0"/>
        <v>3.1911629334151578E-2</v>
      </c>
      <c r="G36" s="211">
        <f t="shared" si="30"/>
        <v>568</v>
      </c>
      <c r="H36" s="212">
        <f t="shared" si="1"/>
        <v>1.0252152410519286E-2</v>
      </c>
      <c r="I36" s="208">
        <v>1768</v>
      </c>
      <c r="J36" s="210">
        <f t="shared" si="2"/>
        <v>1</v>
      </c>
      <c r="K36" s="214">
        <v>568</v>
      </c>
      <c r="L36" s="215">
        <f t="shared" si="3"/>
        <v>1</v>
      </c>
      <c r="M36" s="208">
        <v>927</v>
      </c>
      <c r="N36" s="214">
        <v>511</v>
      </c>
      <c r="O36" s="214">
        <v>218</v>
      </c>
      <c r="P36" s="218">
        <v>112</v>
      </c>
      <c r="Q36" s="208">
        <v>134</v>
      </c>
      <c r="R36" s="218">
        <v>1634</v>
      </c>
      <c r="S36" s="208">
        <v>991</v>
      </c>
      <c r="T36" s="214">
        <v>624</v>
      </c>
      <c r="U36" s="218">
        <v>153</v>
      </c>
      <c r="V36" s="208">
        <v>24</v>
      </c>
      <c r="W36" s="214">
        <v>162</v>
      </c>
      <c r="X36" s="214">
        <v>825</v>
      </c>
      <c r="Y36" s="214">
        <v>727</v>
      </c>
      <c r="Z36" s="214">
        <v>19</v>
      </c>
      <c r="AA36" s="218">
        <v>11</v>
      </c>
      <c r="AB36" s="157">
        <v>1685</v>
      </c>
      <c r="AC36" s="167">
        <v>0.95309999999999995</v>
      </c>
      <c r="AD36" s="158">
        <v>77</v>
      </c>
      <c r="AE36" s="266">
        <v>4.36E-2</v>
      </c>
      <c r="AF36" s="158">
        <v>6</v>
      </c>
      <c r="AG36" s="168">
        <v>3.3999999999999998E-3</v>
      </c>
      <c r="AH36" s="208"/>
      <c r="AI36" s="218"/>
      <c r="AJ36" s="208"/>
      <c r="AK36" s="214"/>
      <c r="AL36" s="214"/>
      <c r="AM36" s="218"/>
      <c r="AN36" s="208"/>
      <c r="AO36" s="218"/>
      <c r="AP36" s="219"/>
      <c r="AQ36" s="214"/>
      <c r="AR36" s="218"/>
    </row>
    <row r="37" spans="1:206" ht="15.75" thickBot="1" x14ac:dyDescent="0.3">
      <c r="A37" s="170">
        <v>79</v>
      </c>
      <c r="B37" s="171">
        <v>79049</v>
      </c>
      <c r="C37" s="248" t="s">
        <v>71</v>
      </c>
      <c r="D37" s="173">
        <f t="shared" si="29"/>
        <v>271</v>
      </c>
      <c r="E37" s="181">
        <v>10187</v>
      </c>
      <c r="F37" s="175">
        <f t="shared" si="0"/>
        <v>2.6602532639638757E-2</v>
      </c>
      <c r="G37" s="176">
        <f t="shared" si="30"/>
        <v>112</v>
      </c>
      <c r="H37" s="177">
        <f t="shared" si="1"/>
        <v>1.0994404633356238E-2</v>
      </c>
      <c r="I37" s="173">
        <v>271</v>
      </c>
      <c r="J37" s="175">
        <f t="shared" si="2"/>
        <v>1</v>
      </c>
      <c r="K37" s="179">
        <v>112</v>
      </c>
      <c r="L37" s="180">
        <f t="shared" si="3"/>
        <v>1</v>
      </c>
      <c r="M37" s="173">
        <v>176</v>
      </c>
      <c r="N37" s="179">
        <v>57</v>
      </c>
      <c r="O37" s="179">
        <v>21</v>
      </c>
      <c r="P37" s="183">
        <v>17</v>
      </c>
      <c r="Q37" s="173">
        <v>196</v>
      </c>
      <c r="R37" s="183">
        <v>75</v>
      </c>
      <c r="S37" s="173">
        <v>111</v>
      </c>
      <c r="T37" s="179">
        <v>109</v>
      </c>
      <c r="U37" s="183">
        <v>51</v>
      </c>
      <c r="V37" s="173">
        <v>1</v>
      </c>
      <c r="W37" s="179">
        <v>8</v>
      </c>
      <c r="X37" s="179">
        <v>141</v>
      </c>
      <c r="Y37" s="179">
        <v>103</v>
      </c>
      <c r="Z37" s="179">
        <v>16</v>
      </c>
      <c r="AA37" s="183">
        <v>2</v>
      </c>
      <c r="AB37" s="173">
        <v>180</v>
      </c>
      <c r="AC37" s="185">
        <v>0.66420000000000001</v>
      </c>
      <c r="AD37" s="179">
        <v>26</v>
      </c>
      <c r="AE37" s="249">
        <v>9.5899999999999999E-2</v>
      </c>
      <c r="AF37" s="179">
        <v>65</v>
      </c>
      <c r="AG37" s="187">
        <v>0.2399</v>
      </c>
      <c r="AH37" s="173"/>
      <c r="AI37" s="183"/>
      <c r="AJ37" s="173"/>
      <c r="AK37" s="179"/>
      <c r="AL37" s="179"/>
      <c r="AM37" s="183"/>
      <c r="AN37" s="173"/>
      <c r="AO37" s="183"/>
      <c r="AP37" s="188"/>
      <c r="AQ37" s="179"/>
      <c r="AR37" s="183"/>
    </row>
    <row r="38" spans="1:206" ht="15.75" thickBot="1" x14ac:dyDescent="0.3">
      <c r="A38" s="170"/>
      <c r="B38" s="189">
        <v>79191</v>
      </c>
      <c r="C38" s="190" t="s">
        <v>72</v>
      </c>
      <c r="D38" s="191">
        <f t="shared" si="29"/>
        <v>1025</v>
      </c>
      <c r="E38" s="199">
        <v>36626</v>
      </c>
      <c r="F38" s="193">
        <f t="shared" si="0"/>
        <v>2.7985584011358051E-2</v>
      </c>
      <c r="G38" s="194">
        <f t="shared" si="30"/>
        <v>360</v>
      </c>
      <c r="H38" s="195">
        <f t="shared" si="1"/>
        <v>9.8290831649647786E-3</v>
      </c>
      <c r="I38" s="191">
        <v>983</v>
      </c>
      <c r="J38" s="193">
        <f t="shared" si="2"/>
        <v>0.9590243902439024</v>
      </c>
      <c r="K38" s="197">
        <v>358</v>
      </c>
      <c r="L38" s="198">
        <f t="shared" si="3"/>
        <v>0.99444444444444446</v>
      </c>
      <c r="M38" s="191">
        <v>615</v>
      </c>
      <c r="N38" s="197">
        <v>192</v>
      </c>
      <c r="O38" s="197">
        <v>94</v>
      </c>
      <c r="P38" s="201">
        <v>82</v>
      </c>
      <c r="Q38" s="191">
        <v>465</v>
      </c>
      <c r="R38" s="201">
        <v>518</v>
      </c>
      <c r="S38" s="191">
        <v>490</v>
      </c>
      <c r="T38" s="197">
        <v>377</v>
      </c>
      <c r="U38" s="201">
        <v>116</v>
      </c>
      <c r="V38" s="191">
        <v>9</v>
      </c>
      <c r="W38" s="197">
        <v>41</v>
      </c>
      <c r="X38" s="197">
        <v>450</v>
      </c>
      <c r="Y38" s="197">
        <v>426</v>
      </c>
      <c r="Z38" s="197">
        <v>44</v>
      </c>
      <c r="AA38" s="201">
        <v>13</v>
      </c>
      <c r="AB38" s="191">
        <v>832</v>
      </c>
      <c r="AC38" s="203">
        <v>0.84640000000000004</v>
      </c>
      <c r="AD38" s="197">
        <v>111</v>
      </c>
      <c r="AE38" s="264">
        <v>0.1129</v>
      </c>
      <c r="AF38" s="197">
        <v>40</v>
      </c>
      <c r="AG38" s="205">
        <v>4.07E-2</v>
      </c>
      <c r="AH38" s="191">
        <v>42</v>
      </c>
      <c r="AI38" s="201">
        <v>2</v>
      </c>
      <c r="AJ38" s="191"/>
      <c r="AK38" s="197">
        <v>40</v>
      </c>
      <c r="AL38" s="197">
        <v>2</v>
      </c>
      <c r="AM38" s="201"/>
      <c r="AN38" s="191">
        <v>3</v>
      </c>
      <c r="AO38" s="201">
        <v>39</v>
      </c>
      <c r="AP38" s="206">
        <v>7</v>
      </c>
      <c r="AQ38" s="197">
        <v>27</v>
      </c>
      <c r="AR38" s="201">
        <v>8</v>
      </c>
    </row>
    <row r="39" spans="1:206" ht="15.75" thickBot="1" x14ac:dyDescent="0.3">
      <c r="A39" s="139">
        <v>86</v>
      </c>
      <c r="B39" s="140">
        <v>86066</v>
      </c>
      <c r="C39" s="207" t="s">
        <v>73</v>
      </c>
      <c r="D39" s="208">
        <f t="shared" si="29"/>
        <v>917</v>
      </c>
      <c r="E39" s="216">
        <v>19582</v>
      </c>
      <c r="F39" s="210">
        <f t="shared" si="0"/>
        <v>4.6828720253293842E-2</v>
      </c>
      <c r="G39" s="211">
        <f t="shared" si="30"/>
        <v>410</v>
      </c>
      <c r="H39" s="212">
        <f t="shared" si="1"/>
        <v>2.0937595751200081E-2</v>
      </c>
      <c r="I39" s="208">
        <v>911</v>
      </c>
      <c r="J39" s="210">
        <f t="shared" si="2"/>
        <v>0.99345692475463465</v>
      </c>
      <c r="K39" s="214">
        <v>410</v>
      </c>
      <c r="L39" s="215">
        <f t="shared" si="3"/>
        <v>1</v>
      </c>
      <c r="M39" s="208">
        <v>624</v>
      </c>
      <c r="N39" s="214">
        <v>179</v>
      </c>
      <c r="O39" s="214">
        <v>53</v>
      </c>
      <c r="P39" s="218">
        <v>55</v>
      </c>
      <c r="Q39" s="208">
        <v>454</v>
      </c>
      <c r="R39" s="218">
        <v>457</v>
      </c>
      <c r="S39" s="208">
        <v>415</v>
      </c>
      <c r="T39" s="214">
        <v>395</v>
      </c>
      <c r="U39" s="218">
        <v>101</v>
      </c>
      <c r="V39" s="208">
        <v>1</v>
      </c>
      <c r="W39" s="214">
        <v>45</v>
      </c>
      <c r="X39" s="214">
        <v>279</v>
      </c>
      <c r="Y39" s="214">
        <v>465</v>
      </c>
      <c r="Z39" s="214">
        <v>98</v>
      </c>
      <c r="AA39" s="218">
        <v>23</v>
      </c>
      <c r="AB39" s="142">
        <v>686</v>
      </c>
      <c r="AC39" s="152">
        <v>0.753</v>
      </c>
      <c r="AD39" s="143">
        <v>143</v>
      </c>
      <c r="AE39" s="152">
        <v>0.157</v>
      </c>
      <c r="AF39" s="143">
        <v>82</v>
      </c>
      <c r="AG39" s="153">
        <v>0.09</v>
      </c>
      <c r="AH39" s="208">
        <v>6</v>
      </c>
      <c r="AI39" s="218"/>
      <c r="AJ39" s="208"/>
      <c r="AK39" s="214">
        <v>4</v>
      </c>
      <c r="AL39" s="214">
        <v>2</v>
      </c>
      <c r="AM39" s="218"/>
      <c r="AN39" s="208">
        <v>2</v>
      </c>
      <c r="AO39" s="218">
        <v>4</v>
      </c>
      <c r="AP39" s="219"/>
      <c r="AQ39" s="214">
        <v>3</v>
      </c>
      <c r="AR39" s="218">
        <v>3</v>
      </c>
    </row>
    <row r="40" spans="1:206" ht="15.75" thickBot="1" x14ac:dyDescent="0.3">
      <c r="A40" s="139"/>
      <c r="B40" s="155">
        <v>86194</v>
      </c>
      <c r="C40" s="156" t="s">
        <v>74</v>
      </c>
      <c r="D40" s="208">
        <f t="shared" si="29"/>
        <v>1502</v>
      </c>
      <c r="E40" s="216">
        <v>57879</v>
      </c>
      <c r="F40" s="210">
        <f t="shared" si="0"/>
        <v>2.5950690233072445E-2</v>
      </c>
      <c r="G40" s="211">
        <f t="shared" si="30"/>
        <v>383</v>
      </c>
      <c r="H40" s="212">
        <f t="shared" si="1"/>
        <v>6.6172532351975672E-3</v>
      </c>
      <c r="I40" s="208">
        <v>1442</v>
      </c>
      <c r="J40" s="210">
        <f t="shared" si="2"/>
        <v>0.96005326231691079</v>
      </c>
      <c r="K40" s="214">
        <v>369</v>
      </c>
      <c r="L40" s="215">
        <f t="shared" si="3"/>
        <v>0.96344647519582249</v>
      </c>
      <c r="M40" s="208">
        <v>732</v>
      </c>
      <c r="N40" s="214">
        <v>291</v>
      </c>
      <c r="O40" s="214">
        <v>282</v>
      </c>
      <c r="P40" s="218">
        <v>137</v>
      </c>
      <c r="Q40" s="208">
        <v>333</v>
      </c>
      <c r="R40" s="218">
        <v>1109</v>
      </c>
      <c r="S40" s="208">
        <v>935</v>
      </c>
      <c r="T40" s="214">
        <v>369</v>
      </c>
      <c r="U40" s="218">
        <v>138</v>
      </c>
      <c r="V40" s="208">
        <v>9</v>
      </c>
      <c r="W40" s="214">
        <v>142</v>
      </c>
      <c r="X40" s="214">
        <v>629</v>
      </c>
      <c r="Y40" s="214">
        <v>560</v>
      </c>
      <c r="Z40" s="214">
        <v>83</v>
      </c>
      <c r="AA40" s="218">
        <v>19</v>
      </c>
      <c r="AB40" s="157">
        <v>1264</v>
      </c>
      <c r="AC40" s="167">
        <v>0.87660000000000005</v>
      </c>
      <c r="AD40" s="158">
        <v>149</v>
      </c>
      <c r="AE40" s="167">
        <v>0.1033</v>
      </c>
      <c r="AF40" s="158">
        <v>29</v>
      </c>
      <c r="AG40" s="168">
        <v>2.01E-2</v>
      </c>
      <c r="AH40" s="208">
        <v>60</v>
      </c>
      <c r="AI40" s="218">
        <v>14</v>
      </c>
      <c r="AJ40" s="208">
        <v>1</v>
      </c>
      <c r="AK40" s="214">
        <v>25</v>
      </c>
      <c r="AL40" s="214">
        <v>34</v>
      </c>
      <c r="AM40" s="218"/>
      <c r="AN40" s="208"/>
      <c r="AO40" s="218">
        <v>60</v>
      </c>
      <c r="AP40" s="219">
        <v>26</v>
      </c>
      <c r="AQ40" s="214">
        <v>33</v>
      </c>
      <c r="AR40" s="218">
        <v>1</v>
      </c>
    </row>
    <row r="41" spans="1:206" ht="15.75" thickBot="1" x14ac:dyDescent="0.3">
      <c r="A41" s="220">
        <v>87</v>
      </c>
      <c r="B41" s="221">
        <v>87085</v>
      </c>
      <c r="C41" s="267" t="s">
        <v>75</v>
      </c>
      <c r="D41" s="223">
        <f t="shared" si="29"/>
        <v>3206</v>
      </c>
      <c r="E41" s="231">
        <v>86530</v>
      </c>
      <c r="F41" s="225">
        <f t="shared" si="0"/>
        <v>3.7050733849531954E-2</v>
      </c>
      <c r="G41" s="226">
        <f t="shared" si="30"/>
        <v>1187</v>
      </c>
      <c r="H41" s="227">
        <f t="shared" si="1"/>
        <v>1.371778573905004E-2</v>
      </c>
      <c r="I41" s="223">
        <v>3098</v>
      </c>
      <c r="J41" s="225">
        <f t="shared" si="2"/>
        <v>0.96631316281971302</v>
      </c>
      <c r="K41" s="229">
        <v>1163</v>
      </c>
      <c r="L41" s="230">
        <f t="shared" si="3"/>
        <v>0.97978096040438079</v>
      </c>
      <c r="M41" s="223">
        <v>1648</v>
      </c>
      <c r="N41" s="229">
        <v>769</v>
      </c>
      <c r="O41" s="229">
        <v>481</v>
      </c>
      <c r="P41" s="233">
        <v>200</v>
      </c>
      <c r="Q41" s="223">
        <v>510</v>
      </c>
      <c r="R41" s="233">
        <v>2588</v>
      </c>
      <c r="S41" s="223">
        <v>1881</v>
      </c>
      <c r="T41" s="229">
        <v>1012</v>
      </c>
      <c r="U41" s="233">
        <v>205</v>
      </c>
      <c r="V41" s="223">
        <v>5</v>
      </c>
      <c r="W41" s="229">
        <v>90</v>
      </c>
      <c r="X41" s="229">
        <v>1234</v>
      </c>
      <c r="Y41" s="229">
        <v>1598</v>
      </c>
      <c r="Z41" s="229">
        <v>149</v>
      </c>
      <c r="AA41" s="233">
        <v>22</v>
      </c>
      <c r="AB41" s="223">
        <v>2883</v>
      </c>
      <c r="AC41" s="235">
        <v>0.93059999999999998</v>
      </c>
      <c r="AD41" s="229">
        <v>137</v>
      </c>
      <c r="AE41" s="235">
        <v>4.4200000000000003E-2</v>
      </c>
      <c r="AF41" s="229">
        <v>78</v>
      </c>
      <c r="AG41" s="236">
        <v>2.52E-2</v>
      </c>
      <c r="AH41" s="223">
        <v>108</v>
      </c>
      <c r="AI41" s="233">
        <v>24</v>
      </c>
      <c r="AJ41" s="223"/>
      <c r="AK41" s="229">
        <v>107</v>
      </c>
      <c r="AL41" s="229"/>
      <c r="AM41" s="233">
        <v>1</v>
      </c>
      <c r="AN41" s="223"/>
      <c r="AO41" s="233">
        <v>108</v>
      </c>
      <c r="AP41" s="237">
        <v>26</v>
      </c>
      <c r="AQ41" s="229">
        <v>82</v>
      </c>
      <c r="AR41" s="233"/>
    </row>
  </sheetData>
  <mergeCells count="41">
    <mergeCell ref="A35:A36"/>
    <mergeCell ref="A37:A38"/>
    <mergeCell ref="A39:A40"/>
    <mergeCell ref="A19:A20"/>
    <mergeCell ref="A21:A22"/>
    <mergeCell ref="A23:A24"/>
    <mergeCell ref="A26:A27"/>
    <mergeCell ref="A29:A30"/>
    <mergeCell ref="A31:A34"/>
    <mergeCell ref="AF4:AG4"/>
    <mergeCell ref="AH4:AH5"/>
    <mergeCell ref="AI4:AI5"/>
    <mergeCell ref="AJ4:AM4"/>
    <mergeCell ref="AN4:AO4"/>
    <mergeCell ref="AP4:AR4"/>
    <mergeCell ref="L4:L5"/>
    <mergeCell ref="M4:P4"/>
    <mergeCell ref="Q4:R4"/>
    <mergeCell ref="S4:U4"/>
    <mergeCell ref="AB4:AC4"/>
    <mergeCell ref="AD4:AE4"/>
    <mergeCell ref="AH3:AI3"/>
    <mergeCell ref="AJ3:AR3"/>
    <mergeCell ref="D4:D5"/>
    <mergeCell ref="E4:E5"/>
    <mergeCell ref="F4:F5"/>
    <mergeCell ref="G4:G5"/>
    <mergeCell ref="H4:H5"/>
    <mergeCell ref="I4:I5"/>
    <mergeCell ref="J4:J5"/>
    <mergeCell ref="K4:K5"/>
    <mergeCell ref="A2:C2"/>
    <mergeCell ref="D2:H2"/>
    <mergeCell ref="I2:AG2"/>
    <mergeCell ref="AH2:AR2"/>
    <mergeCell ref="A3:C3"/>
    <mergeCell ref="D3:H3"/>
    <mergeCell ref="I3:L3"/>
    <mergeCell ref="M3:U3"/>
    <mergeCell ref="V3:AA3"/>
    <mergeCell ref="AB3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CEREMA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2026-06-25T07:34:09Z</dcterms:created>
  <dcterms:modified xsi:type="dcterms:W3CDTF">2026-06-25T07:34:29Z</dcterms:modified>
</cp:coreProperties>
</file>